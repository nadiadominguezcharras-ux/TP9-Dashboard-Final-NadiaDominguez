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6.xml" ContentType="application/vnd.openxmlformats-officedocument.spreadsheetml.table+xml"/>
  <Override PartName="/xl/drawings/drawing5.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40cbbc1337b178f6/Excel/"/>
    </mc:Choice>
  </mc:AlternateContent>
  <xr:revisionPtr revIDLastSave="738" documentId="8_{6410C017-A604-4EB0-A401-2504904D9812}" xr6:coauthVersionLast="47" xr6:coauthVersionMax="47" xr10:uidLastSave="{91F5628C-C8CE-4972-90CB-2D6D049577F9}"/>
  <bookViews>
    <workbookView xWindow="-108" yWindow="-108" windowWidth="23256" windowHeight="12456" firstSheet="9" activeTab="12" xr2:uid="{793CE158-272E-4CF8-B43E-1A634CA3C2EA}"/>
  </bookViews>
  <sheets>
    <sheet name="Ventas_TP8 (2)" sheetId="2" state="hidden" r:id="rId1"/>
    <sheet name="Consulta1" sheetId="4" state="hidden" r:id="rId2"/>
    <sheet name="Hoja3" sheetId="8" state="hidden" r:id="rId3"/>
    <sheet name="Hoja1" sheetId="3" state="hidden" r:id="rId4"/>
    <sheet name="Hoja2" sheetId="5" state="hidden" r:id="rId5"/>
    <sheet name="categoria" sheetId="6" state="hidden" r:id="rId6"/>
    <sheet name="Tabla2" sheetId="7" state="hidden" r:id="rId7"/>
    <sheet name="Resumen del escenario" sheetId="9" state="hidden" r:id="rId8"/>
    <sheet name="Ventas_TP8" sheetId="1" state="hidden" r:id="rId9"/>
    <sheet name="DASHBOARD FINAL" sheetId="10" r:id="rId10"/>
    <sheet name="MARGEN" sheetId="12" state="hidden" r:id="rId11"/>
    <sheet name="CONCLUSIONES Y ANALISIS" sheetId="11" r:id="rId12"/>
    <sheet name="pdf con Prompts e Informe Final" sheetId="13" r:id="rId13"/>
  </sheets>
  <definedNames>
    <definedName name="_xlchart.v1.0" hidden="1">MARGEN!$A$2:$A$4</definedName>
    <definedName name="_xlchart.v1.1" hidden="1">MARGEN!$B$1</definedName>
    <definedName name="_xlchart.v1.10" hidden="1">MARGEN!$B$1</definedName>
    <definedName name="_xlchart.v1.11" hidden="1">MARGEN!$B$2:$B$4</definedName>
    <definedName name="_xlchart.v1.2" hidden="1">MARGEN!$B$2:$B$4</definedName>
    <definedName name="_xlchart.v1.3" hidden="1">MARGEN!$A$2:$A$4</definedName>
    <definedName name="_xlchart.v1.4" hidden="1">MARGEN!$B$1</definedName>
    <definedName name="_xlchart.v1.5" hidden="1">MARGEN!$B$2:$B$4</definedName>
    <definedName name="_xlchart.v1.6" hidden="1">MARGEN!$A$2:$A$4</definedName>
    <definedName name="_xlchart.v1.7" hidden="1">MARGEN!$B$1</definedName>
    <definedName name="_xlchart.v1.8" hidden="1">MARGEN!$B$2:$B$4</definedName>
    <definedName name="_xlchart.v1.9" hidden="1">MARGEN!$A$2:$A$4</definedName>
    <definedName name="_xlcn.WorksheetConnection_PreEntrega_ModeloBI_DominguezNadia.xlsxDimCategoria1" hidden="1">DimCategoria[]</definedName>
    <definedName name="_xlcn.WorksheetConnection_PreEntrega_ModeloBI_DominguezNadia.xlsxDimRegion1" hidden="1">DimRegion[]</definedName>
    <definedName name="DatosExternos_1" localSheetId="6" hidden="1">Tabla2!$A$1:$K$61</definedName>
    <definedName name="SegmentaciónDeDatos_Categoria">#N/A</definedName>
    <definedName name="SegmentaciónDeDatos_Categoria1">#N/A</definedName>
    <definedName name="SegmentaciónDeDatos_Producto">#N/A</definedName>
    <definedName name="SegmentaciónDeDatos_Producto1">#N/A</definedName>
    <definedName name="SegmentaciónDeDatos_Region">#N/A</definedName>
    <definedName name="SegmentaciónDeDatos_Region1">#N/A</definedName>
  </definedNames>
  <calcPr calcId="191029"/>
  <pivotCaches>
    <pivotCache cacheId="60" r:id="rId14"/>
    <pivotCache cacheId="64" r:id="rId15"/>
    <pivotCache cacheId="7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Ventas_TP8_f68ee313-e133-4c97-93d4-a7d33084c024" name="Ventas_TP8" connection="Consulta - Ventas_TP8"/>
          <x15:modelTable id="DimRegion" name="DimRegion" connection="WorksheetConnection_PreEntrega_ModeloBI_DominguezNadia.xlsx!DimRegion"/>
          <x15:modelTable id="DimCategoria" name="DimCategoria" connection="WorksheetConnection_PreEntrega_ModeloBI_DominguezNadia.xlsx!DimCategoria"/>
        </x15:modelTables>
        <x15:modelRelationships>
          <x15:modelRelationship fromTable="Ventas_TP8" fromColumn="Categoria" toTable="DimCategoria" toColumn="Columna1"/>
          <x15:modelRelationship fromTable="Ventas_TP8" fromColumn="Region" toTable="DimRegion"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2" l="1"/>
  <c r="B3" i="12"/>
  <c r="B2" i="1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F9" i="10"/>
  <c r="B9" i="10"/>
  <c r="K9" i="10" s="1"/>
  <c r="M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913D7B-CAEB-488B-94CC-CBAA170210D7}" keepAlive="1" name="Consulta - Tabla2" description="Conexión a la consulta 'Tabla2' en el libro." type="5" refreshedVersion="8" background="1" saveData="1">
    <dbPr connection="Provider=Microsoft.Mashup.OleDb.1;Data Source=$Workbook$;Location=Tabla2;Extended Properties=&quot;&quot;" command="SELECT * FROM [Tabla2]"/>
  </connection>
  <connection id="2" xr16:uid="{9B9BFDDB-BA86-4FA6-B4BD-444B99930505}" name="Consulta - Ventas_TP8" description="Conexión a la consulta 'Ventas_TP8' en el libro." type="100" refreshedVersion="8" minRefreshableVersion="5">
    <extLst>
      <ext xmlns:x15="http://schemas.microsoft.com/office/spreadsheetml/2010/11/main" uri="{DE250136-89BD-433C-8126-D09CA5730AF9}">
        <x15:connection id="058e7e48-5af2-43ab-8667-485f09f2e963"/>
      </ext>
    </extLst>
  </connection>
  <connection id="3" xr16:uid="{FD445BCC-E4F2-489E-958F-DF8BDD68C338}"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B06E75A-808A-42CA-84B2-4B9C72D60003}" name="WorksheetConnection_PreEntrega_ModeloBI_DominguezNadia.xlsx!DimCategoria" type="102" refreshedVersion="8" minRefreshableVersion="5">
    <extLst>
      <ext xmlns:x15="http://schemas.microsoft.com/office/spreadsheetml/2010/11/main" uri="{DE250136-89BD-433C-8126-D09CA5730AF9}">
        <x15:connection id="DimCategoria">
          <x15:rangePr sourceName="_xlcn.WorksheetConnection_PreEntrega_ModeloBI_DominguezNadia.xlsxDimCategoria1"/>
        </x15:connection>
      </ext>
    </extLst>
  </connection>
  <connection id="5" xr16:uid="{4DC690CD-6777-409F-96F6-899C64C56D10}" name="WorksheetConnection_PreEntrega_ModeloBI_DominguezNadia.xlsx!DimRegion" type="102" refreshedVersion="8" minRefreshableVersion="5">
    <extLst>
      <ext xmlns:x15="http://schemas.microsoft.com/office/spreadsheetml/2010/11/main" uri="{DE250136-89BD-433C-8126-D09CA5730AF9}">
        <x15:connection id="DimRegion">
          <x15:rangePr sourceName="_xlcn.WorksheetConnection_PreEntrega_ModeloBI_DominguezNadia.xlsxDimRegion1"/>
        </x15:connection>
      </ext>
    </extLst>
  </connection>
</connections>
</file>

<file path=xl/sharedStrings.xml><?xml version="1.0" encoding="utf-8"?>
<sst xmlns="http://schemas.openxmlformats.org/spreadsheetml/2006/main" count="621" uniqueCount="128">
  <si>
    <t>IDVenta</t>
  </si>
  <si>
    <t>Fecha</t>
  </si>
  <si>
    <t>Cliente</t>
  </si>
  <si>
    <t>Producto</t>
  </si>
  <si>
    <t>Categoria</t>
  </si>
  <si>
    <t>Region</t>
  </si>
  <si>
    <t>Cantidad</t>
  </si>
  <si>
    <t>Precio</t>
  </si>
  <si>
    <t>Costo</t>
  </si>
  <si>
    <t>Cliente 3</t>
  </si>
  <si>
    <t>Escritorio</t>
  </si>
  <si>
    <t>Hogar</t>
  </si>
  <si>
    <t>Centro</t>
  </si>
  <si>
    <t>Notebook</t>
  </si>
  <si>
    <t>Tecnología</t>
  </si>
  <si>
    <t>Cliente 11</t>
  </si>
  <si>
    <t>Mouse</t>
  </si>
  <si>
    <t>Norte</t>
  </si>
  <si>
    <t>Cliente 7</t>
  </si>
  <si>
    <t>Lámpara</t>
  </si>
  <si>
    <t>Oeste</t>
  </si>
  <si>
    <t>Cliente 2</t>
  </si>
  <si>
    <t>Cliente 9</t>
  </si>
  <si>
    <t>Auriculares</t>
  </si>
  <si>
    <t>Sur</t>
  </si>
  <si>
    <t>Cliente 10</t>
  </si>
  <si>
    <t>Monitor</t>
  </si>
  <si>
    <t>Cliente 4</t>
  </si>
  <si>
    <t>Cliente 12</t>
  </si>
  <si>
    <t>Cliente 5</t>
  </si>
  <si>
    <t>Cliente 13</t>
  </si>
  <si>
    <t>Teclado</t>
  </si>
  <si>
    <t>Silla</t>
  </si>
  <si>
    <t>Cliente 15</t>
  </si>
  <si>
    <t>Cliente 6</t>
  </si>
  <si>
    <t>Cliente 8</t>
  </si>
  <si>
    <t>Cliente 14</t>
  </si>
  <si>
    <t>Etiquetas de fila</t>
  </si>
  <si>
    <t>Total general</t>
  </si>
  <si>
    <t>Suma de Cantidad</t>
  </si>
  <si>
    <r>
      <t xml:space="preserve">     </t>
    </r>
    <r>
      <rPr>
        <sz val="36"/>
        <rFont val="Amasis MT Pro"/>
        <family val="1"/>
      </rPr>
      <t>Analisis de Ventas</t>
    </r>
  </si>
  <si>
    <t>Explora</t>
  </si>
  <si>
    <t>Filtra</t>
  </si>
  <si>
    <t xml:space="preserve">          Segmentación Interactiva</t>
  </si>
  <si>
    <t xml:space="preserve">   RESUMEN DE VENTAS</t>
  </si>
  <si>
    <t>Analisis</t>
  </si>
  <si>
    <t>Consulta1</t>
  </si>
  <si>
    <t/>
  </si>
  <si>
    <t>Tecnologia</t>
  </si>
  <si>
    <t>Columna1</t>
  </si>
  <si>
    <t>Media</t>
  </si>
  <si>
    <t>Error típico</t>
  </si>
  <si>
    <t>Mediana</t>
  </si>
  <si>
    <t>Moda</t>
  </si>
  <si>
    <t>Desviación estándar</t>
  </si>
  <si>
    <t>Varianza de la muestra</t>
  </si>
  <si>
    <t>Curtosis</t>
  </si>
  <si>
    <t>Coeficiente de asimetría</t>
  </si>
  <si>
    <t>Rango</t>
  </si>
  <si>
    <t>Mínimo</t>
  </si>
  <si>
    <t>Máximo</t>
  </si>
  <si>
    <t>Suma</t>
  </si>
  <si>
    <t>Cuenta</t>
  </si>
  <si>
    <t>Precio Escenario</t>
  </si>
  <si>
    <t>Resultado  Escenario</t>
  </si>
  <si>
    <t>$K$2</t>
  </si>
  <si>
    <t>$K$5</t>
  </si>
  <si>
    <t>Pesimista</t>
  </si>
  <si>
    <t>Creado por Omar Bau Nadia el 26/9/2026</t>
  </si>
  <si>
    <t>BASE</t>
  </si>
  <si>
    <t>Optimista</t>
  </si>
  <si>
    <t>Resumen del escenario</t>
  </si>
  <si>
    <t>Celdas cambiantes:</t>
  </si>
  <si>
    <t>Valores actuales:</t>
  </si>
  <si>
    <t>Celdas de resultado:</t>
  </si>
  <si>
    <t>Notas: La columna de valores actuales representa los valores de las celdas cambiantes</t>
  </si>
  <si>
    <t>en el momento en que se creó el Informe resumen de escenario. Las celdas cambiantes de</t>
  </si>
  <si>
    <t>cada escenario se muestran en gris.</t>
  </si>
  <si>
    <t>TOTAL DE VENTAS</t>
  </si>
  <si>
    <t>TICKET PROMEDIO</t>
  </si>
  <si>
    <t>(en blanco)</t>
  </si>
  <si>
    <t>ANALISIS Y CONCLUSIONES DEL DASHBOARD</t>
  </si>
  <si>
    <r>
      <t xml:space="preserve">3- </t>
    </r>
    <r>
      <rPr>
        <b/>
        <sz val="12"/>
        <color theme="1"/>
        <rFont val="Amasis MT Pro"/>
        <family val="1"/>
      </rPr>
      <t>Mouse y Notebook se encuentran entre los productos con mayor cantidad de ventas</t>
    </r>
    <r>
      <rPr>
        <sz val="12"/>
        <color theme="1"/>
        <rFont val="Amasis MT Pro"/>
        <family val="1"/>
      </rPr>
      <t>, con 47 y 41 unidades respectivamente, según los datos visualizados en el dashboard.</t>
    </r>
  </si>
  <si>
    <r>
      <t xml:space="preserve">1- </t>
    </r>
    <r>
      <rPr>
        <b/>
        <sz val="12"/>
        <color theme="1"/>
        <rFont val="Amasis MT Pro"/>
        <family val="1"/>
      </rPr>
      <t>Tecnología concentra la mayor cantidad de ventas</t>
    </r>
    <r>
      <rPr>
        <sz val="12"/>
        <color theme="1"/>
        <rFont val="Amasis MT Pro"/>
        <family val="1"/>
      </rPr>
      <t>, con 166 unidades vendidas, superando a la categoría Hogar, que registra 106 unidades,</t>
    </r>
  </si>
  <si>
    <r>
      <t>2-</t>
    </r>
    <r>
      <rPr>
        <b/>
        <sz val="12"/>
        <color theme="1"/>
        <rFont val="Amasis MT Pro"/>
        <family val="1"/>
      </rPr>
      <t xml:space="preserve"> Las ventas presentan diferencias entre las regiones</t>
    </r>
    <r>
      <rPr>
        <sz val="12"/>
        <color theme="1"/>
        <rFont val="Amasis MT Pro"/>
        <family val="1"/>
      </rPr>
      <t>, destacándose Oeste y Norte por encima de las demás regiones en cantidad de ventas vendidas.</t>
    </r>
  </si>
  <si>
    <t>ANALISIS CRITICOS CON IA</t>
  </si>
  <si>
    <t>Prompt utilizado:</t>
  </si>
  <si>
    <t>Actua como abogado del diablo sobre las siguientes conclusiones obtenidas de un dashboard de ventas. Identidica posibles sesgos, variables omitidas, relaciones que podria estar</t>
  </si>
  <si>
    <t>siendo interpretadas incorrectamente y explicaciones alternativas.</t>
  </si>
  <si>
    <t>No asumas casualidad cuando solo existe una relación descriptiva.</t>
  </si>
  <si>
    <t>RESPUESTA DEL ANÁLISIS CRÍTICO</t>
  </si>
  <si>
    <t>1-Tecnologia concentra la mayor cantidad de ventas</t>
  </si>
  <si>
    <t>disponibles, promociones, demanda especifica o diferencias en el periodo analizado. Por lo tanto, se observa una mayor cantidad de unidades vendidas, pero no necesariamente una mayor rentabilidad.</t>
  </si>
  <si>
    <t>2-Exiten diferencias entre las regiones</t>
  </si>
  <si>
    <t xml:space="preserve">La cantidad de unidades vendidas muestra que ambos productos tienen una participación importante dentro de las ventas. Sin embargo las unidades vendidas no permiten determinar cual genera mayor </t>
  </si>
  <si>
    <t>facturación o margen. Para obtener una conclusión comercial mas completa sería necesario analizar también  precio, ingresos y rentabilidad del producto.</t>
  </si>
  <si>
    <t>3-Mouse y Notebook presentan una alta cantidad de ventas</t>
  </si>
  <si>
    <t>La cantidad de unidades vendidas muestra que ambos productos tienen una participación importante dentro de las ventas. Sin embargo, las unidades vendidas no permiten determinar cuál genera mayor facturación o margen.</t>
  </si>
  <si>
    <t>Para obtener una conclusión comercial mas completa seria neceasrio analizar tambien precio, ingresos y rentabilidad por prodructo.</t>
  </si>
  <si>
    <t>Esta conclusión describe correctamente los datos observados, pero no permite determinar por si sola por que la Tecnología vende mas. Podrían influir factores como el precio de los productos, la cantidad de productos</t>
  </si>
  <si>
    <t>ANALISIS INTERACTIVO DE RESULTADOS</t>
  </si>
  <si>
    <t xml:space="preserve">                         DASHBOARD FINAL DE VENTAS</t>
  </si>
  <si>
    <t>Periodo Analizado</t>
  </si>
  <si>
    <t xml:space="preserve">    Año 2024</t>
  </si>
  <si>
    <r>
      <t xml:space="preserve">                  </t>
    </r>
    <r>
      <rPr>
        <b/>
        <sz val="14"/>
        <color theme="4" tint="-0.249977111117893"/>
        <rFont val="Aptos Narrow"/>
        <family val="2"/>
        <scheme val="minor"/>
      </rPr>
      <t>CANTIDAD TOTAL VENDIDA</t>
    </r>
  </si>
  <si>
    <t xml:space="preserve">PRINCIPALES </t>
  </si>
  <si>
    <t>CONCLUSIONES</t>
  </si>
  <si>
    <t xml:space="preserve">Tecnología concentra </t>
  </si>
  <si>
    <t>la mayor cantidad de ventas,</t>
  </si>
  <si>
    <t>con 186 unidades vendidas</t>
  </si>
  <si>
    <t>(68,4% del tottal).</t>
  </si>
  <si>
    <t xml:space="preserve">Oeste y Norte registran </t>
  </si>
  <si>
    <t>el mayor volumen de ventas,</t>
  </si>
  <si>
    <t>superando el resto de las regiones.</t>
  </si>
  <si>
    <t xml:space="preserve">                           cantidad de ventas, con 47 y 41 </t>
  </si>
  <si>
    <t xml:space="preserve">                           unidades respectivamente</t>
  </si>
  <si>
    <r>
      <t xml:space="preserve">                            </t>
    </r>
    <r>
      <rPr>
        <b/>
        <sz val="11"/>
        <color theme="4" tint="-0.249977111117893"/>
        <rFont val="Aptos Narrow"/>
        <family val="2"/>
        <scheme val="minor"/>
      </rPr>
      <t>Mouse y Notebook</t>
    </r>
    <r>
      <rPr>
        <sz val="11"/>
        <color theme="4" tint="-0.249977111117893"/>
        <rFont val="Aptos Narrow"/>
        <family val="2"/>
        <scheme val="minor"/>
      </rPr>
      <t xml:space="preserve"> se encuentran </t>
    </r>
  </si>
  <si>
    <r>
      <t xml:space="preserve">                            </t>
    </r>
    <r>
      <rPr>
        <sz val="11"/>
        <color theme="4" tint="-0.249977111117893"/>
        <rFont val="Aptos Narrow"/>
        <family val="2"/>
        <scheme val="minor"/>
      </rPr>
      <t>entre los productos con mayor</t>
    </r>
  </si>
  <si>
    <t>Concepto</t>
  </si>
  <si>
    <t>Costos</t>
  </si>
  <si>
    <t>Margen</t>
  </si>
  <si>
    <t>Importe</t>
  </si>
  <si>
    <t>Venta Total</t>
  </si>
  <si>
    <t>Costo Total</t>
  </si>
  <si>
    <t>Ventas</t>
  </si>
  <si>
    <t>12% vs periodo anterior</t>
  </si>
  <si>
    <t>8%vs periodo anterior</t>
  </si>
  <si>
    <r>
      <t xml:space="preserve"> </t>
    </r>
    <r>
      <rPr>
        <b/>
        <sz val="11"/>
        <color theme="4" tint="-0.249977111117893"/>
        <rFont val="Aptos Narrow"/>
        <family val="2"/>
        <scheme val="minor"/>
      </rPr>
      <t>4 %vs periodo anterior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</si>
</sst>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 #,##0.00_-;\-&quot;$&quot;\ * #,##0.00_-;_-&quot;$&quot;\ * &quot;-&quot;??_-;_-@_-"/>
  </numFmts>
  <fonts count="5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4"/>
      <name val="Aptos Narrow"/>
      <family val="2"/>
      <scheme val="minor"/>
    </font>
    <font>
      <sz val="22"/>
      <name val="Amasis MT Pro"/>
      <family val="1"/>
    </font>
    <font>
      <sz val="36"/>
      <name val="Amasis MT Pro"/>
      <family val="1"/>
    </font>
    <font>
      <sz val="12"/>
      <color theme="5" tint="-0.249977111117893"/>
      <name val="Aptos Narrow"/>
      <family val="2"/>
      <scheme val="minor"/>
    </font>
    <font>
      <b/>
      <sz val="11"/>
      <color theme="1"/>
      <name val="Amasis MT Pro"/>
      <family val="1"/>
    </font>
    <font>
      <sz val="11"/>
      <color theme="1"/>
      <name val="Amasis MT Pro"/>
      <family val="1"/>
    </font>
    <font>
      <sz val="12"/>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8"/>
      <color theme="1"/>
      <name val="Aptos Narrow"/>
      <family val="2"/>
      <scheme val="minor"/>
    </font>
    <font>
      <b/>
      <i/>
      <sz val="16"/>
      <color theme="1"/>
      <name val="Amasis MT Pro"/>
      <family val="1"/>
    </font>
    <font>
      <b/>
      <sz val="12"/>
      <name val="Amasis MT Pro Light"/>
      <family val="1"/>
    </font>
    <font>
      <b/>
      <sz val="12"/>
      <name val="Amasis MT Pro"/>
      <family val="1"/>
    </font>
    <font>
      <sz val="10"/>
      <name val="Amasis MT Pro"/>
      <family val="1"/>
    </font>
    <font>
      <b/>
      <i/>
      <sz val="11"/>
      <color theme="1"/>
      <name val="Aptos Narrow"/>
      <family val="2"/>
      <scheme val="minor"/>
    </font>
    <font>
      <sz val="12"/>
      <color theme="1"/>
      <name val="Amasis MT Pro"/>
      <family val="1"/>
    </font>
    <font>
      <sz val="14"/>
      <color theme="0"/>
      <name val="Amasis MT Pro"/>
      <family val="1"/>
    </font>
    <font>
      <b/>
      <sz val="12"/>
      <color theme="1"/>
      <name val="Amasis MT Pro"/>
      <family val="1"/>
    </font>
    <font>
      <i/>
      <sz val="14"/>
      <color theme="1"/>
      <name val="Amasis MT Pro"/>
      <family val="1"/>
    </font>
    <font>
      <i/>
      <sz val="14"/>
      <color theme="1"/>
      <name val="Aptos Narrow"/>
      <family val="2"/>
      <scheme val="minor"/>
    </font>
    <font>
      <sz val="12"/>
      <color theme="0"/>
      <name val="Amasis MT Pro"/>
      <family val="1"/>
    </font>
    <font>
      <b/>
      <sz val="26"/>
      <color theme="0"/>
      <name val="Amasis MT Pro"/>
      <family val="1"/>
    </font>
    <font>
      <sz val="18"/>
      <color theme="0"/>
      <name val="Amasis MT Pro"/>
      <family val="1"/>
    </font>
    <font>
      <sz val="11"/>
      <color theme="0"/>
      <name val="Amasis MT Pro"/>
      <family val="1"/>
    </font>
    <font>
      <b/>
      <sz val="14"/>
      <color theme="1"/>
      <name val="Aptos Narrow"/>
      <family val="2"/>
      <scheme val="minor"/>
    </font>
    <font>
      <b/>
      <sz val="16"/>
      <color theme="1"/>
      <name val="Aptos Narrow"/>
      <family val="2"/>
      <scheme val="minor"/>
    </font>
    <font>
      <b/>
      <sz val="11"/>
      <color theme="4" tint="-0.249977111117893"/>
      <name val="Aptos Narrow"/>
      <family val="2"/>
      <scheme val="minor"/>
    </font>
    <font>
      <b/>
      <sz val="14"/>
      <color theme="4" tint="-0.249977111117893"/>
      <name val="Aptos Narrow"/>
      <family val="2"/>
      <scheme val="minor"/>
    </font>
    <font>
      <b/>
      <sz val="20"/>
      <color theme="4" tint="-0.249977111117893"/>
      <name val="Aptos Narrow"/>
      <family val="2"/>
      <scheme val="minor"/>
    </font>
    <font>
      <b/>
      <sz val="16"/>
      <color theme="4" tint="-0.499984740745262"/>
      <name val="Aptos Narrow"/>
      <family val="2"/>
      <scheme val="minor"/>
    </font>
    <font>
      <b/>
      <sz val="14"/>
      <color theme="4" tint="-0.249977111117893"/>
      <name val="Amasis MT Pro"/>
      <family val="1"/>
    </font>
    <font>
      <sz val="11"/>
      <color theme="4" tint="-0.249977111117893"/>
      <name val="Aptos Narrow"/>
      <family val="2"/>
      <scheme val="minor"/>
    </font>
    <font>
      <sz val="8"/>
      <name val="Aptos Narrow"/>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indexed="22"/>
        <bgColor indexed="24"/>
      </patternFill>
    </fill>
    <fill>
      <patternFill patternType="solid">
        <fgColor indexed="22"/>
        <bgColor indexed="7"/>
      </patternFill>
    </fill>
    <fill>
      <patternFill patternType="solid">
        <fgColor theme="5" tint="0.59999389629810485"/>
        <bgColor indexed="24"/>
      </patternFill>
    </fill>
    <fill>
      <patternFill patternType="solid">
        <fgColor theme="4"/>
        <bgColor indexed="64"/>
      </patternFill>
    </fill>
    <fill>
      <patternFill patternType="solid">
        <fgColor theme="3" tint="0.89999084444715716"/>
        <bgColor indexed="64"/>
      </patternFill>
    </fill>
    <fill>
      <patternFill patternType="solid">
        <fgColor theme="0"/>
        <bgColor indexed="64"/>
      </patternFill>
    </fill>
    <fill>
      <patternFill patternType="solid">
        <fgColor theme="4" tint="-0.249977111117893"/>
        <bgColor indexed="64"/>
      </patternFill>
    </fill>
    <fill>
      <patternFill patternType="solid">
        <fgColor theme="2"/>
        <bgColor indexed="64"/>
      </patternFill>
    </fill>
    <fill>
      <patternFill patternType="solid">
        <fgColor theme="3"/>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8">
    <xf numFmtId="0" fontId="0" fillId="0" borderId="0" xfId="0"/>
    <xf numFmtId="14" fontId="0" fillId="0" borderId="0" xfId="0" applyNumberFormat="1"/>
    <xf numFmtId="0" fontId="0" fillId="0" borderId="0" xfId="0" applyAlignment="1">
      <alignment horizontal="left"/>
    </xf>
    <xf numFmtId="0" fontId="18" fillId="33" borderId="0" xfId="0" applyFont="1" applyFill="1"/>
    <xf numFmtId="0" fontId="18" fillId="34" borderId="0" xfId="0" applyFont="1" applyFill="1"/>
    <xf numFmtId="0" fontId="18" fillId="35" borderId="0" xfId="0" applyFont="1" applyFill="1"/>
    <xf numFmtId="0" fontId="20" fillId="35" borderId="0" xfId="0" applyFont="1" applyFill="1"/>
    <xf numFmtId="0" fontId="22" fillId="35" borderId="0" xfId="0" applyFont="1" applyFill="1"/>
    <xf numFmtId="0" fontId="0" fillId="33" borderId="0" xfId="0" applyFill="1"/>
    <xf numFmtId="0" fontId="25" fillId="0" borderId="0" xfId="0" applyFont="1" applyAlignment="1">
      <alignment horizontal="center" vertical="center"/>
    </xf>
    <xf numFmtId="0" fontId="0" fillId="0" borderId="10" xfId="0" applyBorder="1" applyAlignment="1">
      <alignment horizontal="left"/>
    </xf>
    <xf numFmtId="0" fontId="0" fillId="0" borderId="0" xfId="0" pivotButton="1"/>
    <xf numFmtId="0" fontId="16" fillId="0" borderId="0" xfId="0" applyFont="1"/>
    <xf numFmtId="22" fontId="0" fillId="0" borderId="0" xfId="0" applyNumberFormat="1"/>
    <xf numFmtId="0" fontId="0" fillId="0" borderId="12" xfId="0" applyBorder="1"/>
    <xf numFmtId="0" fontId="0" fillId="0" borderId="13" xfId="0" applyBorder="1"/>
    <xf numFmtId="0" fontId="27" fillId="36" borderId="0" xfId="0" applyFont="1" applyFill="1" applyAlignment="1">
      <alignment horizontal="left"/>
    </xf>
    <xf numFmtId="0" fontId="28" fillId="36" borderId="13" xfId="0" applyFont="1" applyFill="1" applyBorder="1" applyAlignment="1">
      <alignment horizontal="left"/>
    </xf>
    <xf numFmtId="0" fontId="27" fillId="36" borderId="12" xfId="0" applyFont="1" applyFill="1" applyBorder="1" applyAlignment="1">
      <alignment horizontal="left"/>
    </xf>
    <xf numFmtId="0" fontId="0" fillId="37" borderId="0" xfId="0" applyFill="1"/>
    <xf numFmtId="0" fontId="29" fillId="0" borderId="0" xfId="0" applyFont="1" applyAlignment="1">
      <alignment vertical="top" wrapText="1"/>
    </xf>
    <xf numFmtId="0" fontId="24" fillId="0" borderId="12" xfId="0" applyFont="1" applyBorder="1"/>
    <xf numFmtId="0" fontId="24" fillId="0" borderId="10" xfId="0" applyFont="1" applyBorder="1"/>
    <xf numFmtId="0" fontId="24" fillId="0" borderId="13" xfId="0" applyFont="1" applyBorder="1"/>
    <xf numFmtId="44" fontId="0" fillId="0" borderId="0" xfId="42" applyFont="1"/>
    <xf numFmtId="0" fontId="26" fillId="38" borderId="10" xfId="0" applyFont="1" applyFill="1" applyBorder="1"/>
    <xf numFmtId="0" fontId="32" fillId="38" borderId="10" xfId="0" applyFont="1" applyFill="1" applyBorder="1"/>
    <xf numFmtId="0" fontId="33" fillId="38" borderId="10" xfId="0" applyFont="1" applyFill="1" applyBorder="1"/>
    <xf numFmtId="0" fontId="34" fillId="0" borderId="0" xfId="0" applyFont="1"/>
    <xf numFmtId="0" fontId="25" fillId="40" borderId="0" xfId="0" applyFont="1" applyFill="1"/>
    <xf numFmtId="0" fontId="0" fillId="40" borderId="0" xfId="0" applyFill="1"/>
    <xf numFmtId="0" fontId="35" fillId="40" borderId="0" xfId="0" applyFont="1" applyFill="1"/>
    <xf numFmtId="0" fontId="37" fillId="40" borderId="0" xfId="0" applyFont="1" applyFill="1"/>
    <xf numFmtId="0" fontId="38" fillId="40" borderId="0" xfId="0" applyFont="1" applyFill="1"/>
    <xf numFmtId="0" fontId="39" fillId="40" borderId="0" xfId="0" applyFont="1" applyFill="1"/>
    <xf numFmtId="0" fontId="30" fillId="35" borderId="14" xfId="0" applyFont="1" applyFill="1" applyBorder="1" applyAlignment="1">
      <alignment horizontal="center"/>
    </xf>
    <xf numFmtId="0" fontId="20" fillId="33" borderId="0" xfId="0" applyFont="1" applyFill="1" applyAlignment="1">
      <alignment horizontal="center"/>
    </xf>
    <xf numFmtId="0" fontId="19" fillId="33" borderId="0" xfId="0" applyFont="1" applyFill="1" applyAlignment="1">
      <alignment horizontal="center"/>
    </xf>
    <xf numFmtId="0" fontId="23" fillId="34" borderId="0" xfId="0" applyFont="1" applyFill="1" applyAlignment="1">
      <alignment horizontal="center" vertical="center"/>
    </xf>
    <xf numFmtId="0" fontId="24" fillId="34" borderId="0" xfId="0" applyFont="1" applyFill="1" applyAlignment="1">
      <alignment horizontal="center" vertical="center"/>
    </xf>
    <xf numFmtId="0" fontId="31" fillId="38" borderId="11" xfId="0" applyFont="1" applyFill="1" applyBorder="1" applyAlignment="1">
      <alignment horizontal="center"/>
    </xf>
    <xf numFmtId="0" fontId="36" fillId="39" borderId="0" xfId="0" applyFont="1" applyFill="1" applyAlignment="1">
      <alignment horizontal="center" vertical="center"/>
    </xf>
    <xf numFmtId="0" fontId="0" fillId="41" borderId="0" xfId="0" applyFill="1"/>
    <xf numFmtId="0" fontId="35" fillId="41" borderId="0" xfId="0" applyFont="1" applyFill="1" applyAlignment="1">
      <alignment horizontal="center" vertical="center"/>
    </xf>
    <xf numFmtId="0" fontId="16" fillId="41" borderId="0" xfId="0" applyFont="1" applyFill="1"/>
    <xf numFmtId="0" fontId="0" fillId="41" borderId="0" xfId="0" applyFill="1" applyAlignment="1">
      <alignment horizontal="left"/>
    </xf>
    <xf numFmtId="0" fontId="41" fillId="42" borderId="0" xfId="0" applyFont="1" applyFill="1" applyAlignment="1">
      <alignment horizontal="center" vertical="center"/>
    </xf>
    <xf numFmtId="0" fontId="42" fillId="42" borderId="0" xfId="0" applyFont="1" applyFill="1" applyAlignment="1">
      <alignment horizontal="center" vertical="center"/>
    </xf>
    <xf numFmtId="0" fontId="41" fillId="42" borderId="0" xfId="0" applyFont="1" applyFill="1" applyAlignment="1">
      <alignment vertical="center"/>
    </xf>
    <xf numFmtId="0" fontId="43" fillId="42" borderId="0" xfId="0" applyFont="1" applyFill="1" applyAlignment="1">
      <alignment vertical="center"/>
    </xf>
    <xf numFmtId="0" fontId="40" fillId="42" borderId="0" xfId="0" applyFont="1" applyFill="1" applyAlignment="1">
      <alignment vertical="center"/>
    </xf>
    <xf numFmtId="0" fontId="42" fillId="41" borderId="0" xfId="0" applyFont="1" applyFill="1" applyAlignment="1">
      <alignment horizontal="center" vertical="center"/>
    </xf>
    <xf numFmtId="0" fontId="35" fillId="43" borderId="0" xfId="0" applyFont="1" applyFill="1" applyAlignment="1">
      <alignment horizontal="center" vertical="center"/>
    </xf>
    <xf numFmtId="0" fontId="0" fillId="43" borderId="0" xfId="0" applyFill="1"/>
    <xf numFmtId="0" fontId="16" fillId="43" borderId="0" xfId="0" applyFont="1" applyFill="1"/>
    <xf numFmtId="44" fontId="45" fillId="44" borderId="0" xfId="42" applyFont="1" applyFill="1"/>
    <xf numFmtId="0" fontId="47" fillId="43" borderId="0" xfId="0" applyFont="1" applyFill="1" applyAlignment="1">
      <alignment horizontal="center"/>
    </xf>
    <xf numFmtId="0" fontId="47" fillId="41" borderId="0" xfId="0" applyFont="1" applyFill="1" applyAlignment="1">
      <alignment horizontal="center"/>
    </xf>
    <xf numFmtId="0" fontId="23" fillId="43" borderId="0" xfId="0" applyFont="1" applyFill="1" applyAlignment="1"/>
    <xf numFmtId="0" fontId="44" fillId="43" borderId="0" xfId="0" applyFont="1" applyFill="1" applyAlignment="1"/>
    <xf numFmtId="0" fontId="48" fillId="43" borderId="0" xfId="0" applyFont="1" applyFill="1" applyAlignment="1">
      <alignment horizontal="center"/>
    </xf>
    <xf numFmtId="0" fontId="23" fillId="41" borderId="0" xfId="0" applyFont="1" applyFill="1" applyAlignment="1"/>
    <xf numFmtId="44" fontId="16" fillId="43" borderId="0" xfId="0" applyNumberFormat="1" applyFont="1" applyFill="1" applyAlignment="1"/>
    <xf numFmtId="44" fontId="16" fillId="41" borderId="0" xfId="0" applyNumberFormat="1" applyFont="1" applyFill="1" applyAlignment="1"/>
    <xf numFmtId="44" fontId="49" fillId="43" borderId="0" xfId="0" applyNumberFormat="1" applyFont="1" applyFill="1" applyAlignment="1"/>
    <xf numFmtId="0" fontId="50" fillId="40" borderId="0" xfId="0" applyFont="1" applyFill="1"/>
    <xf numFmtId="0" fontId="46" fillId="40" borderId="0" xfId="0" applyFont="1" applyFill="1"/>
    <xf numFmtId="0" fontId="0" fillId="40" borderId="0" xfId="0" applyFill="1" applyAlignment="1">
      <alignment horizontal="left"/>
    </xf>
    <xf numFmtId="0" fontId="17" fillId="40" borderId="0" xfId="0" applyFont="1" applyFill="1"/>
    <xf numFmtId="0" fontId="17" fillId="40" borderId="0" xfId="0" applyFont="1" applyFill="1" applyAlignment="1">
      <alignment horizontal="left"/>
    </xf>
    <xf numFmtId="0" fontId="51" fillId="40" borderId="0" xfId="0" applyFont="1" applyFill="1"/>
    <xf numFmtId="0" fontId="51" fillId="40" borderId="0" xfId="0" applyFont="1" applyFill="1" applyAlignment="1">
      <alignment horizontal="left"/>
    </xf>
    <xf numFmtId="0" fontId="0" fillId="0" borderId="0" xfId="0" applyNumberFormat="1"/>
    <xf numFmtId="0" fontId="0" fillId="41" borderId="0" xfId="0" applyNumberFormat="1" applyFill="1"/>
    <xf numFmtId="0" fontId="17" fillId="40" borderId="0" xfId="0" applyNumberFormat="1" applyFont="1" applyFill="1"/>
    <xf numFmtId="0" fontId="25" fillId="0" borderId="0" xfId="0" applyNumberFormat="1" applyFont="1" applyAlignment="1">
      <alignment horizontal="center" vertical="center"/>
    </xf>
    <xf numFmtId="0" fontId="0" fillId="0" borderId="10" xfId="0" applyNumberFormat="1" applyBorder="1"/>
    <xf numFmtId="0" fontId="46" fillId="43" borderId="0" xfId="0" applyFont="1" applyFill="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oneda" xfId="42" builtinId="4"/>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83">
    <dxf>
      <font>
        <color theme="9" tint="0.39994506668294322"/>
      </font>
    </dxf>
    <dxf>
      <font>
        <color rgb="FFFF000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27" formatCode="d/m/yyyy\ hh:mm"/>
    </dxf>
    <dxf>
      <fill>
        <patternFill patternType="solid">
          <bgColor theme="5" tint="0.59999389629810485"/>
        </patternFill>
      </fill>
    </dxf>
    <dxf>
      <fill>
        <patternFill patternType="solid">
          <bgColor theme="5" tint="0.59999389629810485"/>
        </patternFill>
      </fill>
    </dxf>
    <dxf>
      <fill>
        <patternFill>
          <bgColor theme="5" tint="0.79998168889431442"/>
        </patternFill>
      </fill>
    </dxf>
    <dxf>
      <fill>
        <patternFill>
          <bgColor theme="5" tint="0.79998168889431442"/>
        </patternFill>
      </fill>
    </dxf>
    <dxf>
      <alignment horizontal="center"/>
    </dxf>
    <dxf>
      <alignment horizontal="center"/>
    </dxf>
    <dxf>
      <alignment vertical="center"/>
    </dxf>
    <dxf>
      <alignment vertical="center"/>
    </dxf>
    <dxf>
      <font>
        <sz val="12"/>
      </font>
    </dxf>
    <dxf>
      <font>
        <sz val="12"/>
      </font>
    </dxf>
    <dxf>
      <border>
        <bottom style="thin">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val="0"/>
        <i val="0"/>
        <strike val="0"/>
        <condense val="0"/>
        <extend val="0"/>
        <outline val="0"/>
        <shadow val="0"/>
        <u val="none"/>
        <vertAlign val="baseline"/>
        <sz val="11"/>
        <color theme="1"/>
        <name val="Aptos Narrow"/>
        <family val="2"/>
        <scheme val="minor"/>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patternType="solid">
          <bgColor theme="5" tint="0.59999389629810485"/>
        </patternFill>
      </fill>
    </dxf>
    <dxf>
      <fill>
        <patternFill patternType="solid">
          <bgColor theme="5" tint="0.59999389629810485"/>
        </patternFill>
      </fill>
    </dxf>
    <dxf>
      <fill>
        <patternFill>
          <bgColor theme="5" tint="0.79998168889431442"/>
        </patternFill>
      </fill>
    </dxf>
    <dxf>
      <fill>
        <patternFill>
          <bgColor theme="5" tint="0.79998168889431442"/>
        </patternFill>
      </fill>
    </dxf>
    <dxf>
      <alignment horizontal="center"/>
    </dxf>
    <dxf>
      <alignment horizontal="center"/>
    </dxf>
    <dxf>
      <alignment vertical="center"/>
    </dxf>
    <dxf>
      <alignment vertical="center"/>
    </dxf>
    <dxf>
      <font>
        <sz val="12"/>
      </font>
    </dxf>
    <dxf>
      <font>
        <sz val="12"/>
      </font>
    </dxf>
    <dxf>
      <border>
        <bottom style="thin">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0" formatCode="General"/>
    </dxf>
    <dxf>
      <numFmt numFmtId="0" formatCode="General"/>
    </dxf>
    <dxf>
      <font>
        <color theme="4"/>
      </font>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ont>
        <color theme="0"/>
      </font>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9" formatCode="d/m/yyyy"/>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border>
        <bottom style="thin">
          <color indexed="64"/>
        </bottom>
      </border>
    </dxf>
    <dxf>
      <font>
        <sz val="12"/>
      </font>
    </dxf>
    <dxf>
      <font>
        <sz val="12"/>
      </font>
    </dxf>
    <dxf>
      <alignment vertical="center"/>
    </dxf>
    <dxf>
      <alignment vertical="center"/>
    </dxf>
    <dxf>
      <alignment horizontal="center"/>
    </dxf>
    <dxf>
      <alignment horizontal="center"/>
    </dxf>
    <dxf>
      <fill>
        <patternFill>
          <bgColor theme="5" tint="0.79998168889431442"/>
        </patternFill>
      </fill>
    </dxf>
    <dxf>
      <fill>
        <patternFill>
          <bgColor theme="5" tint="0.79998168889431442"/>
        </patternFill>
      </fill>
    </dxf>
    <dxf>
      <fill>
        <patternFill patternType="solid">
          <bgColor theme="5" tint="0.59999389629810485"/>
        </patternFill>
      </fill>
    </dxf>
    <dxf>
      <fill>
        <patternFill patternType="solid">
          <bgColor theme="5" tint="0.59999389629810485"/>
        </patternFill>
      </fill>
    </dxf>
    <dxf>
      <numFmt numFmtId="0" formatCode="General"/>
    </dxf>
  </dxfs>
  <tableStyles count="1" defaultTableStyle="TableStyleMedium2" defaultPivotStyle="PivotStyleLight16">
    <tableStyle name="Estilo de segmentación de datos 1" pivot="0" table="0" count="1" xr9:uid="{117961D2-CB52-46F4-B03A-F7F276EEBC26}">
      <tableStyleElement type="wholeTable" dxfId="132"/>
    </tableStyle>
  </tableStyles>
  <extLst>
    <ext xmlns:x14="http://schemas.microsoft.com/office/spreadsheetml/2009/9/main" uri="{EB79DEF2-80B8-43e5-95BD-54CBDDF9020C}">
      <x14:slicerStyles defaultSlicerStyle="SlicerStyleLight1">
        <x14:slicerStyle name="Estilo de segmentación de datos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6.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4.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[DominguezNadia_TP9.xlsx]Hoja1!TablaDinámica2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chemeClr val="accent2">
                    <a:lumMod val="75000"/>
                  </a:schemeClr>
                </a:solidFill>
                <a:latin typeface="Amasis MT Pro" panose="020F0502020204030204" pitchFamily="18" charset="0"/>
              </a:rPr>
              <a:t>Cantidad vendida</a:t>
            </a:r>
            <a:r>
              <a:rPr lang="en-US" b="1" baseline="0">
                <a:solidFill>
                  <a:schemeClr val="accent2">
                    <a:lumMod val="75000"/>
                  </a:schemeClr>
                </a:solidFill>
                <a:latin typeface="Amasis MT Pro" panose="020F0502020204030204" pitchFamily="18" charset="0"/>
              </a:rPr>
              <a:t> por categoría</a:t>
            </a:r>
            <a:endParaRPr lang="en-US" b="1">
              <a:solidFill>
                <a:schemeClr val="accent2">
                  <a:lumMod val="75000"/>
                </a:schemeClr>
              </a:solidFill>
              <a:latin typeface="Amasis MT Pro" panose="020F0502020204030204" pitchFamily="18" charset="0"/>
            </a:endParaRPr>
          </a:p>
        </c:rich>
      </c:tx>
      <c:layout>
        <c:manualLayout>
          <c:xMode val="edge"/>
          <c:yMode val="edge"/>
          <c:x val="0.21098270196540395"/>
          <c:y val="6.8628282652513736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Hoja1!$B$10</c:f>
              <c:strCache>
                <c:ptCount val="1"/>
                <c:pt idx="0">
                  <c:v>Total</c:v>
                </c:pt>
              </c:strCache>
            </c:strRef>
          </c:tx>
          <c:spPr>
            <a:solidFill>
              <a:schemeClr val="accent2">
                <a:lumMod val="5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Hoja1!$A$11:$A$13</c:f>
              <c:strCache>
                <c:ptCount val="2"/>
                <c:pt idx="0">
                  <c:v>Hogar</c:v>
                </c:pt>
                <c:pt idx="1">
                  <c:v>Tecnología</c:v>
                </c:pt>
              </c:strCache>
            </c:strRef>
          </c:cat>
          <c:val>
            <c:numRef>
              <c:f>Hoja1!$B$11:$B$13</c:f>
              <c:numCache>
                <c:formatCode>General</c:formatCode>
                <c:ptCount val="2"/>
                <c:pt idx="0">
                  <c:v>34</c:v>
                </c:pt>
                <c:pt idx="1">
                  <c:v>49</c:v>
                </c:pt>
              </c:numCache>
            </c:numRef>
          </c:val>
          <c:extLst>
            <c:ext xmlns:c16="http://schemas.microsoft.com/office/drawing/2014/chart" uri="{C3380CC4-5D6E-409C-BE32-E72D297353CC}">
              <c16:uniqueId val="{00000000-4D81-4033-AF0C-33101D07E01C}"/>
            </c:ext>
          </c:extLst>
        </c:ser>
        <c:dLbls>
          <c:dLblPos val="inEnd"/>
          <c:showLegendKey val="0"/>
          <c:showVal val="1"/>
          <c:showCatName val="0"/>
          <c:showSerName val="0"/>
          <c:showPercent val="0"/>
          <c:showBubbleSize val="0"/>
        </c:dLbls>
        <c:gapWidth val="41"/>
        <c:axId val="701601327"/>
        <c:axId val="172892592"/>
      </c:barChart>
      <c:catAx>
        <c:axId val="701601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dk1">
                    <a:lumMod val="65000"/>
                    <a:lumOff val="35000"/>
                  </a:schemeClr>
                </a:solidFill>
                <a:effectLst/>
                <a:latin typeface="+mn-lt"/>
                <a:ea typeface="+mn-ea"/>
                <a:cs typeface="+mn-cs"/>
              </a:defRPr>
            </a:pPr>
            <a:endParaRPr lang="es-AR"/>
          </a:p>
        </c:txPr>
        <c:crossAx val="172892592"/>
        <c:crosses val="autoZero"/>
        <c:auto val="1"/>
        <c:lblAlgn val="ctr"/>
        <c:lblOffset val="100"/>
        <c:noMultiLvlLbl val="0"/>
      </c:catAx>
      <c:valAx>
        <c:axId val="172892592"/>
        <c:scaling>
          <c:orientation val="minMax"/>
        </c:scaling>
        <c:delete val="1"/>
        <c:axPos val="l"/>
        <c:numFmt formatCode="General" sourceLinked="1"/>
        <c:majorTickMark val="none"/>
        <c:minorTickMark val="none"/>
        <c:tickLblPos val="nextTo"/>
        <c:crossAx val="701601327"/>
        <c:crosses val="autoZero"/>
        <c:crossBetween val="between"/>
      </c:valAx>
      <c:spPr>
        <a:noFill/>
        <a:ln>
          <a:noFill/>
        </a:ln>
        <a:effectLst/>
      </c:spPr>
    </c:plotArea>
    <c:legend>
      <c:legendPos val="r"/>
      <c:layout>
        <c:manualLayout>
          <c:xMode val="edge"/>
          <c:yMode val="edge"/>
          <c:x val="0.83440490214313756"/>
          <c:y val="0.52985709313960061"/>
          <c:w val="0.14984706636079939"/>
          <c:h val="8.11469526253969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[DominguezNadia_TP9.xlsx]Hoja2!TablaDinámica1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masis MT Pro" panose="02040504050005020304" pitchFamily="18" charset="0"/>
                <a:ea typeface="+mn-ea"/>
                <a:cs typeface="+mn-cs"/>
              </a:defRPr>
            </a:pPr>
            <a:r>
              <a:rPr lang="en-US" b="1">
                <a:latin typeface="Amasis MT Pro" panose="02040504050005020304" pitchFamily="18" charset="0"/>
              </a:rPr>
              <a:t>Cantidad</a:t>
            </a:r>
            <a:r>
              <a:rPr lang="en-US" b="1" baseline="0">
                <a:latin typeface="Amasis MT Pro" panose="02040504050005020304" pitchFamily="18" charset="0"/>
              </a:rPr>
              <a:t> Vendida por Región</a:t>
            </a:r>
            <a:endParaRPr lang="en-US" b="1">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masis MT Pro" panose="02040504050005020304" pitchFamily="18" charset="0"/>
              <a:ea typeface="+mn-ea"/>
              <a:cs typeface="+mn-cs"/>
            </a:defRPr>
          </a:pPr>
          <a:endParaRPr lang="en-US"/>
        </a:p>
      </c:txPr>
    </c:title>
    <c:autoTitleDeleted val="0"/>
    <c:pivotFmts>
      <c:pivotFmt>
        <c:idx val="0"/>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Hoja2!$B$3</c:f>
              <c:strCache>
                <c:ptCount val="1"/>
                <c:pt idx="0">
                  <c:v>Total</c:v>
                </c:pt>
              </c:strCache>
            </c:strRef>
          </c:tx>
          <c:spPr>
            <a:solidFill>
              <a:schemeClr val="accent2">
                <a:lumMod val="75000"/>
              </a:schemeClr>
            </a:solidFill>
            <a:ln>
              <a:solidFill>
                <a:schemeClr val="accent2">
                  <a:lumMod val="75000"/>
                </a:schemeClr>
              </a:solidFill>
            </a:ln>
            <a:effectLst/>
          </c:spPr>
          <c:invertIfNegative val="0"/>
          <c:cat>
            <c:strRef>
              <c:f>Hoja2!$A$4:$A$5</c:f>
              <c:strCache>
                <c:ptCount val="1"/>
                <c:pt idx="0">
                  <c:v>Oeste</c:v>
                </c:pt>
              </c:strCache>
            </c:strRef>
          </c:cat>
          <c:val>
            <c:numRef>
              <c:f>Hoja2!$B$4:$B$5</c:f>
              <c:numCache>
                <c:formatCode>General</c:formatCode>
                <c:ptCount val="1"/>
                <c:pt idx="0">
                  <c:v>83</c:v>
                </c:pt>
              </c:numCache>
            </c:numRef>
          </c:val>
          <c:extLst>
            <c:ext xmlns:c16="http://schemas.microsoft.com/office/drawing/2014/chart" uri="{C3380CC4-5D6E-409C-BE32-E72D297353CC}">
              <c16:uniqueId val="{00000000-5084-45FA-8621-BE421219316F}"/>
            </c:ext>
          </c:extLst>
        </c:ser>
        <c:dLbls>
          <c:showLegendKey val="0"/>
          <c:showVal val="0"/>
          <c:showCatName val="0"/>
          <c:showSerName val="0"/>
          <c:showPercent val="0"/>
          <c:showBubbleSize val="0"/>
        </c:dLbls>
        <c:gapWidth val="219"/>
        <c:overlap val="-27"/>
        <c:axId val="150354672"/>
        <c:axId val="1036814831"/>
      </c:barChart>
      <c:catAx>
        <c:axId val="15035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36814831"/>
        <c:crosses val="autoZero"/>
        <c:auto val="1"/>
        <c:lblAlgn val="ctr"/>
        <c:lblOffset val="100"/>
        <c:noMultiLvlLbl val="0"/>
      </c:catAx>
      <c:valAx>
        <c:axId val="103681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035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[DominguezNadia_TP9.xlsx]DASHBOARD FINAL!TablaDinámica1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masis MT Pro" panose="02040504050005020304" pitchFamily="18" charset="0"/>
                <a:ea typeface="+mn-ea"/>
                <a:cs typeface="+mn-cs"/>
              </a:defRPr>
            </a:pPr>
            <a:r>
              <a:rPr lang="en-US" b="1">
                <a:solidFill>
                  <a:schemeClr val="accent1">
                    <a:lumMod val="75000"/>
                  </a:schemeClr>
                </a:solidFill>
                <a:latin typeface="Amasis MT Pro" panose="02040504050005020304" pitchFamily="18" charset="0"/>
              </a:rPr>
              <a:t>VENTAS POR CATEGORÍA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masis MT Pro" panose="02040504050005020304" pitchFamily="18" charset="0"/>
              <a:ea typeface="+mn-ea"/>
              <a:cs typeface="+mn-cs"/>
            </a:defRPr>
          </a:pPr>
          <a:endParaRPr lang="es-AR"/>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FINAL'!$B$13</c:f>
              <c:strCache>
                <c:ptCount val="1"/>
                <c:pt idx="0">
                  <c:v>Total</c:v>
                </c:pt>
              </c:strCache>
            </c:strRef>
          </c:tx>
          <c:spPr>
            <a:solidFill>
              <a:srgbClr val="FF0000"/>
            </a:solidFill>
            <a:ln>
              <a:noFill/>
            </a:ln>
            <a:effectLst/>
          </c:spPr>
          <c:invertIfNegative val="0"/>
          <c:cat>
            <c:strRef>
              <c:f>'DASHBOARD FINAL'!$A$14:$A$16</c:f>
              <c:strCache>
                <c:ptCount val="2"/>
                <c:pt idx="0">
                  <c:v>Hogar</c:v>
                </c:pt>
                <c:pt idx="1">
                  <c:v>Tecnología</c:v>
                </c:pt>
              </c:strCache>
            </c:strRef>
          </c:cat>
          <c:val>
            <c:numRef>
              <c:f>'DASHBOARD FINAL'!$B$14:$B$16</c:f>
              <c:numCache>
                <c:formatCode>General</c:formatCode>
                <c:ptCount val="2"/>
                <c:pt idx="0">
                  <c:v>86</c:v>
                </c:pt>
                <c:pt idx="1">
                  <c:v>186</c:v>
                </c:pt>
              </c:numCache>
            </c:numRef>
          </c:val>
          <c:extLst>
            <c:ext xmlns:c16="http://schemas.microsoft.com/office/drawing/2014/chart" uri="{C3380CC4-5D6E-409C-BE32-E72D297353CC}">
              <c16:uniqueId val="{00000000-71CC-4928-B2CF-65E50EF929D6}"/>
            </c:ext>
          </c:extLst>
        </c:ser>
        <c:dLbls>
          <c:showLegendKey val="0"/>
          <c:showVal val="0"/>
          <c:showCatName val="0"/>
          <c:showSerName val="0"/>
          <c:showPercent val="0"/>
          <c:showBubbleSize val="0"/>
        </c:dLbls>
        <c:gapWidth val="219"/>
        <c:overlap val="-27"/>
        <c:axId val="1238183519"/>
        <c:axId val="1171053487"/>
      </c:barChart>
      <c:catAx>
        <c:axId val="12381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71053487"/>
        <c:crosses val="autoZero"/>
        <c:auto val="1"/>
        <c:lblAlgn val="ctr"/>
        <c:lblOffset val="100"/>
        <c:noMultiLvlLbl val="0"/>
      </c:catAx>
      <c:valAx>
        <c:axId val="117105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23818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[DominguezNadia_TP9.xlsx]DASHBOARD FINAL!TablaDinámica2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accent1">
                    <a:lumMod val="75000"/>
                  </a:schemeClr>
                </a:solidFill>
                <a:latin typeface="Amasis MT Pro" panose="02040504050005020304" pitchFamily="18" charset="0"/>
              </a:rPr>
              <a:t>VENTAS POR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FINAL'!$B$31</c:f>
              <c:strCache>
                <c:ptCount val="1"/>
                <c:pt idx="0">
                  <c:v>Total</c:v>
                </c:pt>
              </c:strCache>
            </c:strRef>
          </c:tx>
          <c:spPr>
            <a:solidFill>
              <a:schemeClr val="accent1"/>
            </a:solidFill>
            <a:ln>
              <a:noFill/>
            </a:ln>
            <a:effectLst/>
          </c:spPr>
          <c:invertIfNegative val="0"/>
          <c:cat>
            <c:strRef>
              <c:f>'DASHBOARD FINAL'!$A$32:$A$37</c:f>
              <c:strCache>
                <c:ptCount val="5"/>
                <c:pt idx="0">
                  <c:v>Centro</c:v>
                </c:pt>
                <c:pt idx="1">
                  <c:v>Norte</c:v>
                </c:pt>
                <c:pt idx="2">
                  <c:v>Oeste</c:v>
                </c:pt>
                <c:pt idx="3">
                  <c:v>Sur</c:v>
                </c:pt>
                <c:pt idx="4">
                  <c:v>(en blanco)</c:v>
                </c:pt>
              </c:strCache>
            </c:strRef>
          </c:cat>
          <c:val>
            <c:numRef>
              <c:f>'DASHBOARD FINAL'!$B$32:$B$37</c:f>
              <c:numCache>
                <c:formatCode>General</c:formatCode>
                <c:ptCount val="5"/>
                <c:pt idx="0">
                  <c:v>43</c:v>
                </c:pt>
                <c:pt idx="1">
                  <c:v>76</c:v>
                </c:pt>
                <c:pt idx="2">
                  <c:v>83</c:v>
                </c:pt>
                <c:pt idx="3">
                  <c:v>63</c:v>
                </c:pt>
                <c:pt idx="4">
                  <c:v>7</c:v>
                </c:pt>
              </c:numCache>
            </c:numRef>
          </c:val>
          <c:extLst>
            <c:ext xmlns:c16="http://schemas.microsoft.com/office/drawing/2014/chart" uri="{C3380CC4-5D6E-409C-BE32-E72D297353CC}">
              <c16:uniqueId val="{00000000-FE5A-4373-8757-760FE153375C}"/>
            </c:ext>
          </c:extLst>
        </c:ser>
        <c:dLbls>
          <c:showLegendKey val="0"/>
          <c:showVal val="0"/>
          <c:showCatName val="0"/>
          <c:showSerName val="0"/>
          <c:showPercent val="0"/>
          <c:showBubbleSize val="0"/>
        </c:dLbls>
        <c:gapWidth val="219"/>
        <c:overlap val="-27"/>
        <c:axId val="1165281327"/>
        <c:axId val="1171072687"/>
      </c:barChart>
      <c:catAx>
        <c:axId val="116528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71072687"/>
        <c:crosses val="autoZero"/>
        <c:auto val="1"/>
        <c:lblAlgn val="ctr"/>
        <c:lblOffset val="100"/>
        <c:noMultiLvlLbl val="0"/>
      </c:catAx>
      <c:valAx>
        <c:axId val="117107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6528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[DominguezNadia_TP9.xlsx]DASHBOARD FINAL!TablaDinámica4</c:name>
    <c:fmtId val="0"/>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s-AR" b="1">
                <a:solidFill>
                  <a:schemeClr val="accent1">
                    <a:lumMod val="75000"/>
                  </a:schemeClr>
                </a:solidFill>
                <a:latin typeface="Amasis MT Pro" panose="02040504050005020304" pitchFamily="18" charset="0"/>
              </a:rPr>
              <a:t>VENTAS</a:t>
            </a:r>
            <a:r>
              <a:rPr lang="es-AR" b="1" baseline="0">
                <a:solidFill>
                  <a:schemeClr val="accent1">
                    <a:lumMod val="75000"/>
                  </a:schemeClr>
                </a:solidFill>
                <a:latin typeface="Amasis MT Pro" panose="02040504050005020304" pitchFamily="18" charset="0"/>
              </a:rPr>
              <a:t> POR PRODUCTO</a:t>
            </a:r>
            <a:endParaRPr lang="es-AR" b="1">
              <a:solidFill>
                <a:schemeClr val="accent1">
                  <a:lumMod val="75000"/>
                </a:schemeClr>
              </a:solidFill>
              <a:latin typeface="Amasis MT Pro" panose="02040504050005020304" pitchFamily="18" charset="0"/>
            </a:endParaRPr>
          </a:p>
        </c:rich>
      </c:tx>
      <c:layout>
        <c:manualLayout>
          <c:xMode val="edge"/>
          <c:yMode val="edge"/>
          <c:x val="0.2749869994799791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s-AR"/>
        </a:p>
      </c:txPr>
    </c:title>
    <c:autoTitleDeleted val="0"/>
    <c:pivotFmts>
      <c:pivotFmt>
        <c:idx val="0"/>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FINAL'!$B$70</c:f>
              <c:strCache>
                <c:ptCount val="1"/>
                <c:pt idx="0">
                  <c:v>Total</c:v>
                </c:pt>
              </c:strCache>
            </c:strRef>
          </c:tx>
          <c:spPr>
            <a:solidFill>
              <a:srgbClr val="FF0000"/>
            </a:solidFill>
            <a:ln>
              <a:solidFill>
                <a:srgbClr val="FF0000"/>
              </a:solidFill>
            </a:ln>
            <a:effectLst/>
          </c:spPr>
          <c:invertIfNegative val="0"/>
          <c:cat>
            <c:strRef>
              <c:f>'DASHBOARD FINAL'!$A$71:$A$79</c:f>
              <c:strCache>
                <c:ptCount val="8"/>
                <c:pt idx="0">
                  <c:v>Auriculares</c:v>
                </c:pt>
                <c:pt idx="1">
                  <c:v>Escritorio</c:v>
                </c:pt>
                <c:pt idx="2">
                  <c:v>Lámpara</c:v>
                </c:pt>
                <c:pt idx="3">
                  <c:v>Monitor</c:v>
                </c:pt>
                <c:pt idx="4">
                  <c:v>Mouse</c:v>
                </c:pt>
                <c:pt idx="5">
                  <c:v>Notebook</c:v>
                </c:pt>
                <c:pt idx="6">
                  <c:v>Silla</c:v>
                </c:pt>
                <c:pt idx="7">
                  <c:v>Teclado</c:v>
                </c:pt>
              </c:strCache>
            </c:strRef>
          </c:cat>
          <c:val>
            <c:numRef>
              <c:f>'DASHBOARD FINAL'!$B$71:$B$79</c:f>
              <c:numCache>
                <c:formatCode>General</c:formatCode>
                <c:ptCount val="8"/>
                <c:pt idx="0">
                  <c:v>35</c:v>
                </c:pt>
                <c:pt idx="1">
                  <c:v>35</c:v>
                </c:pt>
                <c:pt idx="2">
                  <c:v>26</c:v>
                </c:pt>
                <c:pt idx="3">
                  <c:v>36</c:v>
                </c:pt>
                <c:pt idx="4">
                  <c:v>47</c:v>
                </c:pt>
                <c:pt idx="5">
                  <c:v>41</c:v>
                </c:pt>
                <c:pt idx="6">
                  <c:v>25</c:v>
                </c:pt>
                <c:pt idx="7">
                  <c:v>27</c:v>
                </c:pt>
              </c:numCache>
            </c:numRef>
          </c:val>
          <c:extLst>
            <c:ext xmlns:c16="http://schemas.microsoft.com/office/drawing/2014/chart" uri="{C3380CC4-5D6E-409C-BE32-E72D297353CC}">
              <c16:uniqueId val="{00000000-26A2-44C3-B64F-BC501D707BC9}"/>
            </c:ext>
          </c:extLst>
        </c:ser>
        <c:dLbls>
          <c:showLegendKey val="0"/>
          <c:showVal val="0"/>
          <c:showCatName val="0"/>
          <c:showSerName val="0"/>
          <c:showPercent val="0"/>
          <c:showBubbleSize val="0"/>
        </c:dLbls>
        <c:gapWidth val="219"/>
        <c:overlap val="-27"/>
        <c:axId val="1932320767"/>
        <c:axId val="1171149967"/>
      </c:barChart>
      <c:catAx>
        <c:axId val="193232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71149967"/>
        <c:crosses val="autoZero"/>
        <c:auto val="1"/>
        <c:lblAlgn val="ctr"/>
        <c:lblOffset val="100"/>
        <c:noMultiLvlLbl val="0"/>
      </c:catAx>
      <c:valAx>
        <c:axId val="117114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3232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kumimoji="0" lang="es-AR" sz="1400" b="1" i="0" u="none" strike="noStrike" kern="1200" cap="all" spc="120" normalizeH="0" baseline="0" noProof="0">
                <a:ln>
                  <a:noFill/>
                </a:ln>
                <a:solidFill>
                  <a:srgbClr val="156082">
                    <a:lumMod val="75000"/>
                  </a:srgbClr>
                </a:solidFill>
                <a:effectLst/>
                <a:uLnTx/>
                <a:uFillTx/>
                <a:latin typeface="Amasis MT Pro" panose="02040504050005020304" pitchFamily="18" charset="0"/>
              </a:rPr>
              <a:t>RELACIÓN ENTRE PRECIO Y CALIDAD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0"/>
          <c:order val="0"/>
          <c:tx>
            <c:strRef>
              <c:f>Tabla2!$H$1</c:f>
              <c:strCache>
                <c:ptCount val="1"/>
                <c:pt idx="0">
                  <c:v> Precio </c:v>
                </c:pt>
              </c:strCache>
            </c:strRef>
          </c:tx>
          <c:spPr>
            <a:ln w="25400" cap="rnd">
              <a:noFill/>
              <a:round/>
            </a:ln>
            <a:effectLst/>
          </c:spPr>
          <c:marker>
            <c:symbol val="diamond"/>
            <c:size val="6"/>
            <c:spPr>
              <a:solidFill>
                <a:schemeClr val="accent1"/>
              </a:solidFill>
              <a:ln w="9525">
                <a:solidFill>
                  <a:schemeClr val="accent1"/>
                </a:solidFill>
                <a:round/>
              </a:ln>
              <a:effectLst/>
            </c:spPr>
          </c:marker>
          <c:xVal>
            <c:numRef>
              <c:f>Tabla2!$G$2:$G$61</c:f>
              <c:numCache>
                <c:formatCode>General</c:formatCode>
                <c:ptCount val="60"/>
                <c:pt idx="0">
                  <c:v>7</c:v>
                </c:pt>
                <c:pt idx="1">
                  <c:v>2</c:v>
                </c:pt>
                <c:pt idx="2">
                  <c:v>7</c:v>
                </c:pt>
                <c:pt idx="3">
                  <c:v>8</c:v>
                </c:pt>
                <c:pt idx="4">
                  <c:v>7</c:v>
                </c:pt>
                <c:pt idx="5">
                  <c:v>5</c:v>
                </c:pt>
                <c:pt idx="6">
                  <c:v>2</c:v>
                </c:pt>
                <c:pt idx="7">
                  <c:v>7</c:v>
                </c:pt>
                <c:pt idx="8">
                  <c:v>6</c:v>
                </c:pt>
                <c:pt idx="9">
                  <c:v>3</c:v>
                </c:pt>
                <c:pt idx="10">
                  <c:v>8</c:v>
                </c:pt>
                <c:pt idx="11">
                  <c:v>8</c:v>
                </c:pt>
                <c:pt idx="12">
                  <c:v>3</c:v>
                </c:pt>
                <c:pt idx="13">
                  <c:v>6</c:v>
                </c:pt>
                <c:pt idx="14">
                  <c:v>5</c:v>
                </c:pt>
                <c:pt idx="15">
                  <c:v>2</c:v>
                </c:pt>
                <c:pt idx="16">
                  <c:v>1</c:v>
                </c:pt>
                <c:pt idx="17">
                  <c:v>1</c:v>
                </c:pt>
                <c:pt idx="18">
                  <c:v>7</c:v>
                </c:pt>
                <c:pt idx="19">
                  <c:v>1</c:v>
                </c:pt>
                <c:pt idx="20">
                  <c:v>1</c:v>
                </c:pt>
                <c:pt idx="21">
                  <c:v>7</c:v>
                </c:pt>
                <c:pt idx="22">
                  <c:v>8</c:v>
                </c:pt>
                <c:pt idx="23">
                  <c:v>5</c:v>
                </c:pt>
                <c:pt idx="24">
                  <c:v>2</c:v>
                </c:pt>
                <c:pt idx="25">
                  <c:v>3</c:v>
                </c:pt>
                <c:pt idx="26">
                  <c:v>3</c:v>
                </c:pt>
                <c:pt idx="27">
                  <c:v>5</c:v>
                </c:pt>
                <c:pt idx="28">
                  <c:v>8</c:v>
                </c:pt>
                <c:pt idx="29">
                  <c:v>3</c:v>
                </c:pt>
                <c:pt idx="30">
                  <c:v>2</c:v>
                </c:pt>
                <c:pt idx="31">
                  <c:v>8</c:v>
                </c:pt>
                <c:pt idx="32">
                  <c:v>2</c:v>
                </c:pt>
                <c:pt idx="33">
                  <c:v>8</c:v>
                </c:pt>
                <c:pt idx="34">
                  <c:v>6</c:v>
                </c:pt>
                <c:pt idx="35">
                  <c:v>1</c:v>
                </c:pt>
                <c:pt idx="36">
                  <c:v>1</c:v>
                </c:pt>
                <c:pt idx="37">
                  <c:v>7</c:v>
                </c:pt>
                <c:pt idx="38">
                  <c:v>4</c:v>
                </c:pt>
                <c:pt idx="39">
                  <c:v>1</c:v>
                </c:pt>
                <c:pt idx="40">
                  <c:v>7</c:v>
                </c:pt>
                <c:pt idx="41">
                  <c:v>6</c:v>
                </c:pt>
                <c:pt idx="42">
                  <c:v>6</c:v>
                </c:pt>
                <c:pt idx="43">
                  <c:v>4</c:v>
                </c:pt>
                <c:pt idx="44">
                  <c:v>4</c:v>
                </c:pt>
                <c:pt idx="45">
                  <c:v>6</c:v>
                </c:pt>
                <c:pt idx="46">
                  <c:v>4</c:v>
                </c:pt>
                <c:pt idx="47">
                  <c:v>2</c:v>
                </c:pt>
                <c:pt idx="48">
                  <c:v>5</c:v>
                </c:pt>
                <c:pt idx="49">
                  <c:v>5</c:v>
                </c:pt>
                <c:pt idx="50">
                  <c:v>4</c:v>
                </c:pt>
                <c:pt idx="51">
                  <c:v>4</c:v>
                </c:pt>
                <c:pt idx="52">
                  <c:v>7</c:v>
                </c:pt>
                <c:pt idx="53">
                  <c:v>1</c:v>
                </c:pt>
                <c:pt idx="54">
                  <c:v>5</c:v>
                </c:pt>
                <c:pt idx="55">
                  <c:v>5</c:v>
                </c:pt>
                <c:pt idx="56">
                  <c:v>2</c:v>
                </c:pt>
                <c:pt idx="57">
                  <c:v>6</c:v>
                </c:pt>
                <c:pt idx="58">
                  <c:v>6</c:v>
                </c:pt>
                <c:pt idx="59">
                  <c:v>2</c:v>
                </c:pt>
              </c:numCache>
            </c:numRef>
          </c:xVal>
          <c:yVal>
            <c:numRef>
              <c:f>Tabla2!$H$2:$H$61</c:f>
              <c:numCache>
                <c:formatCode>_("$"* #,##0.00_);_("$"* \(#,##0.00\);_("$"* "-"??_);_(@_)</c:formatCode>
                <c:ptCount val="60"/>
                <c:pt idx="0">
                  <c:v>290000</c:v>
                </c:pt>
                <c:pt idx="1">
                  <c:v>850000</c:v>
                </c:pt>
                <c:pt idx="2">
                  <c:v>45000</c:v>
                </c:pt>
                <c:pt idx="3">
                  <c:v>75000</c:v>
                </c:pt>
                <c:pt idx="4">
                  <c:v>45000</c:v>
                </c:pt>
                <c:pt idx="5">
                  <c:v>850000</c:v>
                </c:pt>
                <c:pt idx="6">
                  <c:v>120000</c:v>
                </c:pt>
                <c:pt idx="7">
                  <c:v>320000</c:v>
                </c:pt>
                <c:pt idx="8">
                  <c:v>850000</c:v>
                </c:pt>
                <c:pt idx="9">
                  <c:v>45000</c:v>
                </c:pt>
                <c:pt idx="10">
                  <c:v>850000</c:v>
                </c:pt>
                <c:pt idx="11">
                  <c:v>75000</c:v>
                </c:pt>
                <c:pt idx="12">
                  <c:v>85000</c:v>
                </c:pt>
                <c:pt idx="13">
                  <c:v>290000</c:v>
                </c:pt>
                <c:pt idx="14">
                  <c:v>45000</c:v>
                </c:pt>
                <c:pt idx="15">
                  <c:v>180000</c:v>
                </c:pt>
                <c:pt idx="16">
                  <c:v>45000</c:v>
                </c:pt>
                <c:pt idx="17">
                  <c:v>180000</c:v>
                </c:pt>
                <c:pt idx="18">
                  <c:v>180000</c:v>
                </c:pt>
                <c:pt idx="19">
                  <c:v>85000</c:v>
                </c:pt>
                <c:pt idx="20">
                  <c:v>320000</c:v>
                </c:pt>
                <c:pt idx="21">
                  <c:v>85000</c:v>
                </c:pt>
                <c:pt idx="22">
                  <c:v>120000</c:v>
                </c:pt>
                <c:pt idx="23">
                  <c:v>320000</c:v>
                </c:pt>
                <c:pt idx="24">
                  <c:v>320000</c:v>
                </c:pt>
                <c:pt idx="25">
                  <c:v>75000</c:v>
                </c:pt>
                <c:pt idx="26">
                  <c:v>850000</c:v>
                </c:pt>
                <c:pt idx="27">
                  <c:v>320000</c:v>
                </c:pt>
                <c:pt idx="28">
                  <c:v>850000</c:v>
                </c:pt>
                <c:pt idx="29">
                  <c:v>850000</c:v>
                </c:pt>
                <c:pt idx="30">
                  <c:v>75000</c:v>
                </c:pt>
                <c:pt idx="31">
                  <c:v>45000</c:v>
                </c:pt>
                <c:pt idx="32">
                  <c:v>120000</c:v>
                </c:pt>
                <c:pt idx="33">
                  <c:v>85000</c:v>
                </c:pt>
                <c:pt idx="34">
                  <c:v>120000</c:v>
                </c:pt>
                <c:pt idx="35">
                  <c:v>45000</c:v>
                </c:pt>
                <c:pt idx="36">
                  <c:v>45000</c:v>
                </c:pt>
                <c:pt idx="37">
                  <c:v>290000</c:v>
                </c:pt>
                <c:pt idx="38">
                  <c:v>45000</c:v>
                </c:pt>
                <c:pt idx="39">
                  <c:v>45000</c:v>
                </c:pt>
                <c:pt idx="40">
                  <c:v>290000</c:v>
                </c:pt>
                <c:pt idx="41">
                  <c:v>120000</c:v>
                </c:pt>
                <c:pt idx="42">
                  <c:v>180000</c:v>
                </c:pt>
                <c:pt idx="43">
                  <c:v>320000</c:v>
                </c:pt>
                <c:pt idx="44">
                  <c:v>180000</c:v>
                </c:pt>
                <c:pt idx="45">
                  <c:v>120000</c:v>
                </c:pt>
                <c:pt idx="46">
                  <c:v>120000</c:v>
                </c:pt>
                <c:pt idx="47">
                  <c:v>85000</c:v>
                </c:pt>
                <c:pt idx="48">
                  <c:v>320000</c:v>
                </c:pt>
                <c:pt idx="49">
                  <c:v>180000</c:v>
                </c:pt>
                <c:pt idx="50">
                  <c:v>290000</c:v>
                </c:pt>
                <c:pt idx="51">
                  <c:v>45000</c:v>
                </c:pt>
                <c:pt idx="52">
                  <c:v>320000</c:v>
                </c:pt>
                <c:pt idx="53">
                  <c:v>120000</c:v>
                </c:pt>
                <c:pt idx="54">
                  <c:v>45000</c:v>
                </c:pt>
                <c:pt idx="55">
                  <c:v>75000</c:v>
                </c:pt>
                <c:pt idx="56">
                  <c:v>290000</c:v>
                </c:pt>
                <c:pt idx="57">
                  <c:v>85000</c:v>
                </c:pt>
                <c:pt idx="58">
                  <c:v>850000</c:v>
                </c:pt>
                <c:pt idx="59">
                  <c:v>290000</c:v>
                </c:pt>
              </c:numCache>
            </c:numRef>
          </c:yVal>
          <c:smooth val="0"/>
          <c:extLst>
            <c:ext xmlns:c16="http://schemas.microsoft.com/office/drawing/2014/chart" uri="{C3380CC4-5D6E-409C-BE32-E72D297353CC}">
              <c16:uniqueId val="{00000000-BF1D-4FA8-B5F8-31459590226E}"/>
            </c:ext>
          </c:extLst>
        </c:ser>
        <c:dLbls>
          <c:showLegendKey val="0"/>
          <c:showVal val="0"/>
          <c:showCatName val="0"/>
          <c:showSerName val="0"/>
          <c:showPercent val="0"/>
          <c:showBubbleSize val="0"/>
        </c:dLbls>
        <c:axId val="667106559"/>
        <c:axId val="683057103"/>
      </c:scatterChart>
      <c:valAx>
        <c:axId val="66710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s-AR"/>
          </a:p>
        </c:txPr>
        <c:crossAx val="683057103"/>
        <c:crosses val="autoZero"/>
        <c:crossBetween val="midCat"/>
      </c:valAx>
      <c:valAx>
        <c:axId val="6830571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7106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ANÁLISIS DE MARGEN</cx:v>
        </cx:txData>
      </cx:tx>
      <cx:txPr>
        <a:bodyPr spcFirstLastPara="1" vertOverflow="ellipsis" horzOverflow="overflow" wrap="square" lIns="0" tIns="0" rIns="0" bIns="0" anchor="ctr" anchorCtr="1"/>
        <a:lstStyle/>
        <a:p>
          <a:pPr algn="ctr" rtl="0">
            <a:defRPr b="1">
              <a:solidFill>
                <a:schemeClr val="accent1">
                  <a:lumMod val="75000"/>
                </a:schemeClr>
              </a:solidFill>
              <a:latin typeface="Amasis MT Pro" panose="02040504050005020304" pitchFamily="18" charset="0"/>
              <a:ea typeface="Amasis MT Pro" panose="02040504050005020304" pitchFamily="18" charset="0"/>
              <a:cs typeface="Amasis MT Pro" panose="02040504050005020304" pitchFamily="18" charset="0"/>
            </a:defRPr>
          </a:pPr>
          <a:r>
            <a:rPr lang="es-ES" sz="1400" b="1" i="0" u="none" strike="noStrike" baseline="0">
              <a:solidFill>
                <a:schemeClr val="accent1">
                  <a:lumMod val="75000"/>
                </a:schemeClr>
              </a:solidFill>
              <a:latin typeface="Amasis MT Pro" panose="02040504050005020304" pitchFamily="18" charset="0"/>
            </a:rPr>
            <a:t>ANÁLISIS DE MARGEN</a:t>
          </a:r>
        </a:p>
      </cx:txPr>
    </cx:title>
    <cx:plotArea>
      <cx:plotAreaRegion>
        <cx:series layoutId="waterfall" uniqueId="{00000000-03D3-4552-8C7F-9AF259C51C31}">
          <cx:tx>
            <cx:txData>
              <cx:f>_xlchart.v1.1</cx:f>
              <cx:v>Importe</cx:v>
            </cx:txData>
          </cx:tx>
          <cx:spPr>
            <a:solidFill>
              <a:schemeClr val="accent1">
                <a:lumMod val="75000"/>
              </a:schemeClr>
            </a:solidFill>
          </cx:spPr>
          <cx:dataPt idx="1">
            <cx:spPr>
              <a:solidFill>
                <a:srgbClr val="FF0000"/>
              </a:solidFill>
            </cx:spPr>
          </cx:dataPt>
          <cx:dataPt idx="2">
            <cx:spPr>
              <a:solidFill>
                <a:srgbClr val="00B050"/>
              </a:solidFill>
            </cx:spPr>
          </cx:dataPt>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image" Target="../media/image16.svg"/><Relationship Id="rId2" Type="http://schemas.openxmlformats.org/officeDocument/2006/relationships/image" Target="../media/image1.png"/><Relationship Id="rId16" Type="http://schemas.openxmlformats.org/officeDocument/2006/relationships/image" Target="../media/image15.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image" Target="../media/image14.sv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image" Target="../media/image25.png"/><Relationship Id="rId18" Type="http://schemas.openxmlformats.org/officeDocument/2006/relationships/image" Target="../media/image29.png"/><Relationship Id="rId3" Type="http://schemas.openxmlformats.org/officeDocument/2006/relationships/chart" Target="../charts/chart5.xml"/><Relationship Id="rId7" Type="http://schemas.openxmlformats.org/officeDocument/2006/relationships/image" Target="../media/image19.png"/><Relationship Id="rId12" Type="http://schemas.openxmlformats.org/officeDocument/2006/relationships/image" Target="../media/image24.svg"/><Relationship Id="rId17" Type="http://schemas.microsoft.com/office/2014/relationships/chartEx" Target="../charts/chartEx1.xml"/><Relationship Id="rId2" Type="http://schemas.openxmlformats.org/officeDocument/2006/relationships/chart" Target="../charts/chart4.xml"/><Relationship Id="rId16" Type="http://schemas.openxmlformats.org/officeDocument/2006/relationships/image" Target="../media/image28.svg"/><Relationship Id="rId1" Type="http://schemas.openxmlformats.org/officeDocument/2006/relationships/chart" Target="../charts/chart3.xml"/><Relationship Id="rId6" Type="http://schemas.openxmlformats.org/officeDocument/2006/relationships/image" Target="../media/image18.sv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image" Target="../media/image27.png"/><Relationship Id="rId10" Type="http://schemas.openxmlformats.org/officeDocument/2006/relationships/image" Target="../media/image22.svg"/><Relationship Id="rId19" Type="http://schemas.openxmlformats.org/officeDocument/2006/relationships/image" Target="../media/image30.svg"/><Relationship Id="rId4" Type="http://schemas.openxmlformats.org/officeDocument/2006/relationships/chart" Target="../charts/chart6.xml"/><Relationship Id="rId9" Type="http://schemas.openxmlformats.org/officeDocument/2006/relationships/image" Target="../media/image21.png"/><Relationship Id="rId14" Type="http://schemas.openxmlformats.org/officeDocument/2006/relationships/image" Target="../media/image26.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2.emf"/><Relationship Id="rId1" Type="http://schemas.openxmlformats.org/officeDocument/2006/relationships/image" Target="../media/image31.emf"/></Relationships>
</file>

<file path=xl/drawings/drawing1.xml><?xml version="1.0" encoding="utf-8"?>
<xdr:wsDr xmlns:xdr="http://schemas.openxmlformats.org/drawingml/2006/spreadsheetDrawing" xmlns:a="http://schemas.openxmlformats.org/drawingml/2006/main">
  <xdr:twoCellAnchor editAs="oneCell">
    <xdr:from>
      <xdr:col>13</xdr:col>
      <xdr:colOff>480060</xdr:colOff>
      <xdr:row>7</xdr:row>
      <xdr:rowOff>0</xdr:rowOff>
    </xdr:from>
    <xdr:to>
      <xdr:col>15</xdr:col>
      <xdr:colOff>723900</xdr:colOff>
      <xdr:row>21</xdr:row>
      <xdr:rowOff>5715</xdr:rowOff>
    </xdr:to>
    <mc:AlternateContent xmlns:mc="http://schemas.openxmlformats.org/markup-compatibility/2006" xmlns:a14="http://schemas.microsoft.com/office/drawing/2010/main">
      <mc:Choice Requires="a14">
        <xdr:graphicFrame macro="">
          <xdr:nvGraphicFramePr>
            <xdr:cNvPr id="2" name="Producto">
              <a:extLst>
                <a:ext uri="{FF2B5EF4-FFF2-40B4-BE49-F238E27FC236}">
                  <a16:creationId xmlns:a16="http://schemas.microsoft.com/office/drawing/2014/main" id="{46CD6A11-886F-2BFD-F429-2E02483F2B7E}"/>
                </a:ext>
              </a:extLst>
            </xdr:cNvPr>
            <xdr:cNvGraphicFramePr/>
          </xdr:nvGraphicFramePr>
          <xdr:xfrm>
            <a:off x="0" y="0"/>
            <a:ext cx="0" cy="0"/>
          </xdr:xfrm>
          <a:graphic>
            <a:graphicData uri="http://schemas.microsoft.com/office/drawing/2010/slicer">
              <sle:slicer xmlns:sle="http://schemas.microsoft.com/office/drawing/2010/slicer" name="Producto"/>
            </a:graphicData>
          </a:graphic>
        </xdr:graphicFrame>
      </mc:Choice>
      <mc:Fallback xmlns="">
        <xdr:sp macro="" textlink="">
          <xdr:nvSpPr>
            <xdr:cNvPr id="0" name=""/>
            <xdr:cNvSpPr>
              <a:spLocks noTextEdit="1"/>
            </xdr:cNvSpPr>
          </xdr:nvSpPr>
          <xdr:spPr>
            <a:xfrm>
              <a:off x="11765280" y="1341120"/>
              <a:ext cx="1828800" cy="258127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8</xdr:col>
      <xdr:colOff>624840</xdr:colOff>
      <xdr:row>7</xdr:row>
      <xdr:rowOff>15241</xdr:rowOff>
    </xdr:from>
    <xdr:to>
      <xdr:col>11</xdr:col>
      <xdr:colOff>30480</xdr:colOff>
      <xdr:row>12</xdr:row>
      <xdr:rowOff>160021</xdr:rowOff>
    </xdr:to>
    <mc:AlternateContent xmlns:mc="http://schemas.openxmlformats.org/markup-compatibility/2006" xmlns:a14="http://schemas.microsoft.com/office/drawing/2010/main">
      <mc:Choice Requires="a14">
        <xdr:graphicFrame macro="">
          <xdr:nvGraphicFramePr>
            <xdr:cNvPr id="3" name="Categoria">
              <a:extLst>
                <a:ext uri="{FF2B5EF4-FFF2-40B4-BE49-F238E27FC236}">
                  <a16:creationId xmlns:a16="http://schemas.microsoft.com/office/drawing/2014/main" id="{6316942F-26F6-1827-4460-E3BF23CDF291}"/>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7901940" y="1356361"/>
              <a:ext cx="1828800" cy="105918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11</xdr:col>
      <xdr:colOff>121920</xdr:colOff>
      <xdr:row>7</xdr:row>
      <xdr:rowOff>15241</xdr:rowOff>
    </xdr:from>
    <xdr:to>
      <xdr:col>13</xdr:col>
      <xdr:colOff>365760</xdr:colOff>
      <xdr:row>17</xdr:row>
      <xdr:rowOff>7621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2318E3E-3C4D-17A8-4B7A-59E9CDADC7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22180" y="1356361"/>
              <a:ext cx="1828800" cy="183642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2</xdr:col>
      <xdr:colOff>525780</xdr:colOff>
      <xdr:row>6</xdr:row>
      <xdr:rowOff>163830</xdr:rowOff>
    </xdr:from>
    <xdr:to>
      <xdr:col>8</xdr:col>
      <xdr:colOff>342900</xdr:colOff>
      <xdr:row>21</xdr:row>
      <xdr:rowOff>163830</xdr:rowOff>
    </xdr:to>
    <xdr:graphicFrame macro="">
      <xdr:nvGraphicFramePr>
        <xdr:cNvPr id="5" name="Gráfico 4">
          <a:extLst>
            <a:ext uri="{FF2B5EF4-FFF2-40B4-BE49-F238E27FC236}">
              <a16:creationId xmlns:a16="http://schemas.microsoft.com/office/drawing/2014/main" id="{AACBC3DA-759F-50A3-2377-41A527556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487680</xdr:colOff>
      <xdr:row>0</xdr:row>
      <xdr:rowOff>91440</xdr:rowOff>
    </xdr:from>
    <xdr:to>
      <xdr:col>1</xdr:col>
      <xdr:colOff>266700</xdr:colOff>
      <xdr:row>5</xdr:row>
      <xdr:rowOff>30480</xdr:rowOff>
    </xdr:to>
    <xdr:pic>
      <xdr:nvPicPr>
        <xdr:cNvPr id="7" name="Gráfico 6" descr="Carro de la compra contorno">
          <a:extLst>
            <a:ext uri="{FF2B5EF4-FFF2-40B4-BE49-F238E27FC236}">
              <a16:creationId xmlns:a16="http://schemas.microsoft.com/office/drawing/2014/main" id="{F101D444-3D2E-4F5E-F60A-14D9A328F8D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87680" y="91440"/>
          <a:ext cx="914400" cy="914400"/>
        </a:xfrm>
        <a:prstGeom prst="rect">
          <a:avLst/>
        </a:prstGeom>
      </xdr:spPr>
    </xdr:pic>
    <xdr:clientData/>
  </xdr:twoCellAnchor>
  <xdr:twoCellAnchor>
    <xdr:from>
      <xdr:col>8</xdr:col>
      <xdr:colOff>556260</xdr:colOff>
      <xdr:row>0</xdr:row>
      <xdr:rowOff>22860</xdr:rowOff>
    </xdr:from>
    <xdr:to>
      <xdr:col>9</xdr:col>
      <xdr:colOff>30480</xdr:colOff>
      <xdr:row>5</xdr:row>
      <xdr:rowOff>160020</xdr:rowOff>
    </xdr:to>
    <xdr:sp macro="" textlink="">
      <xdr:nvSpPr>
        <xdr:cNvPr id="11" name="Triángulo isósceles 10">
          <a:extLst>
            <a:ext uri="{FF2B5EF4-FFF2-40B4-BE49-F238E27FC236}">
              <a16:creationId xmlns:a16="http://schemas.microsoft.com/office/drawing/2014/main" id="{6DEAF766-F173-C82B-A3F3-DDAC36607B97}"/>
            </a:ext>
          </a:extLst>
        </xdr:cNvPr>
        <xdr:cNvSpPr/>
      </xdr:nvSpPr>
      <xdr:spPr>
        <a:xfrm>
          <a:off x="7833360" y="22860"/>
          <a:ext cx="510540" cy="1097280"/>
        </a:xfrm>
        <a:prstGeom prst="triangle">
          <a:avLst>
            <a:gd name="adj" fmla="val 97761"/>
          </a:avLst>
        </a:prstGeom>
        <a:solidFill>
          <a:schemeClr val="accent2">
            <a:lumMod val="40000"/>
            <a:lumOff val="6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9</xdr:col>
      <xdr:colOff>480060</xdr:colOff>
      <xdr:row>0</xdr:row>
      <xdr:rowOff>30480</xdr:rowOff>
    </xdr:from>
    <xdr:to>
      <xdr:col>10</xdr:col>
      <xdr:colOff>632460</xdr:colOff>
      <xdr:row>4</xdr:row>
      <xdr:rowOff>0</xdr:rowOff>
    </xdr:to>
    <xdr:pic>
      <xdr:nvPicPr>
        <xdr:cNvPr id="17" name="Gráfico 16" descr="Gráfico de barras contorno">
          <a:extLst>
            <a:ext uri="{FF2B5EF4-FFF2-40B4-BE49-F238E27FC236}">
              <a16:creationId xmlns:a16="http://schemas.microsoft.com/office/drawing/2014/main" id="{7A6935F7-954F-ED8D-8A18-99BC945777F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93480" y="30480"/>
          <a:ext cx="746760" cy="746760"/>
        </a:xfrm>
        <a:prstGeom prst="rect">
          <a:avLst/>
        </a:prstGeom>
      </xdr:spPr>
    </xdr:pic>
    <xdr:clientData/>
  </xdr:twoCellAnchor>
  <xdr:twoCellAnchor editAs="oneCell">
    <xdr:from>
      <xdr:col>11</xdr:col>
      <xdr:colOff>617220</xdr:colOff>
      <xdr:row>0</xdr:row>
      <xdr:rowOff>144780</xdr:rowOff>
    </xdr:from>
    <xdr:to>
      <xdr:col>12</xdr:col>
      <xdr:colOff>464820</xdr:colOff>
      <xdr:row>4</xdr:row>
      <xdr:rowOff>7620</xdr:rowOff>
    </xdr:to>
    <xdr:pic>
      <xdr:nvPicPr>
        <xdr:cNvPr id="19" name="Gráfico 18" descr="Filtro contorno">
          <a:extLst>
            <a:ext uri="{FF2B5EF4-FFF2-40B4-BE49-F238E27FC236}">
              <a16:creationId xmlns:a16="http://schemas.microsoft.com/office/drawing/2014/main" id="{3693EB67-A299-0C43-62B7-61EFDEB27A5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317480" y="144780"/>
          <a:ext cx="640080" cy="640080"/>
        </a:xfrm>
        <a:prstGeom prst="rect">
          <a:avLst/>
        </a:prstGeom>
      </xdr:spPr>
    </xdr:pic>
    <xdr:clientData/>
  </xdr:twoCellAnchor>
  <xdr:twoCellAnchor editAs="oneCell">
    <xdr:from>
      <xdr:col>13</xdr:col>
      <xdr:colOff>586740</xdr:colOff>
      <xdr:row>0</xdr:row>
      <xdr:rowOff>0</xdr:rowOff>
    </xdr:from>
    <xdr:to>
      <xdr:col>14</xdr:col>
      <xdr:colOff>640080</xdr:colOff>
      <xdr:row>4</xdr:row>
      <xdr:rowOff>68580</xdr:rowOff>
    </xdr:to>
    <xdr:pic>
      <xdr:nvPicPr>
        <xdr:cNvPr id="21" name="Gráfico 20" descr="Estadísticas contorno">
          <a:extLst>
            <a:ext uri="{FF2B5EF4-FFF2-40B4-BE49-F238E27FC236}">
              <a16:creationId xmlns:a16="http://schemas.microsoft.com/office/drawing/2014/main" id="{4C277C50-ADE9-EBBE-3B59-8B6F5788A09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871960" y="0"/>
          <a:ext cx="845820" cy="845820"/>
        </a:xfrm>
        <a:prstGeom prst="rect">
          <a:avLst/>
        </a:prstGeom>
      </xdr:spPr>
    </xdr:pic>
    <xdr:clientData/>
  </xdr:twoCellAnchor>
  <xdr:twoCellAnchor editAs="oneCell">
    <xdr:from>
      <xdr:col>0</xdr:col>
      <xdr:colOff>38100</xdr:colOff>
      <xdr:row>6</xdr:row>
      <xdr:rowOff>167640</xdr:rowOff>
    </xdr:from>
    <xdr:to>
      <xdr:col>0</xdr:col>
      <xdr:colOff>426720</xdr:colOff>
      <xdr:row>9</xdr:row>
      <xdr:rowOff>7620</xdr:rowOff>
    </xdr:to>
    <xdr:pic>
      <xdr:nvPicPr>
        <xdr:cNvPr id="23" name="Gráfico 22" descr="Diagrama de Gantt con relleno sólido">
          <a:extLst>
            <a:ext uri="{FF2B5EF4-FFF2-40B4-BE49-F238E27FC236}">
              <a16:creationId xmlns:a16="http://schemas.microsoft.com/office/drawing/2014/main" id="{E3C2500E-BB28-2407-03B6-9990854C68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0" y="1874520"/>
          <a:ext cx="388620" cy="388620"/>
        </a:xfrm>
        <a:prstGeom prst="rect">
          <a:avLst/>
        </a:prstGeom>
      </xdr:spPr>
    </xdr:pic>
    <xdr:clientData/>
  </xdr:twoCellAnchor>
  <xdr:twoCellAnchor editAs="oneCell">
    <xdr:from>
      <xdr:col>10</xdr:col>
      <xdr:colOff>228600</xdr:colOff>
      <xdr:row>6</xdr:row>
      <xdr:rowOff>137160</xdr:rowOff>
    </xdr:from>
    <xdr:to>
      <xdr:col>10</xdr:col>
      <xdr:colOff>594360</xdr:colOff>
      <xdr:row>8</xdr:row>
      <xdr:rowOff>137160</xdr:rowOff>
    </xdr:to>
    <xdr:pic>
      <xdr:nvPicPr>
        <xdr:cNvPr id="25" name="Gráfico 24" descr="Caseta de perro contorno">
          <a:extLst>
            <a:ext uri="{FF2B5EF4-FFF2-40B4-BE49-F238E27FC236}">
              <a16:creationId xmlns:a16="http://schemas.microsoft.com/office/drawing/2014/main" id="{BCB47532-4C29-8158-F2B2-A107291E795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36380" y="1844040"/>
          <a:ext cx="365760" cy="365760"/>
        </a:xfrm>
        <a:prstGeom prst="rect">
          <a:avLst/>
        </a:prstGeom>
      </xdr:spPr>
    </xdr:pic>
    <xdr:clientData/>
  </xdr:twoCellAnchor>
  <xdr:twoCellAnchor editAs="oneCell">
    <xdr:from>
      <xdr:col>12</xdr:col>
      <xdr:colOff>342900</xdr:colOff>
      <xdr:row>7</xdr:row>
      <xdr:rowOff>0</xdr:rowOff>
    </xdr:from>
    <xdr:to>
      <xdr:col>12</xdr:col>
      <xdr:colOff>678180</xdr:colOff>
      <xdr:row>8</xdr:row>
      <xdr:rowOff>152400</xdr:rowOff>
    </xdr:to>
    <xdr:pic>
      <xdr:nvPicPr>
        <xdr:cNvPr id="27" name="Gráfico 26" descr="Marcador con relleno sólido">
          <a:extLst>
            <a:ext uri="{FF2B5EF4-FFF2-40B4-BE49-F238E27FC236}">
              <a16:creationId xmlns:a16="http://schemas.microsoft.com/office/drawing/2014/main" id="{8DF227A3-8CD7-E64B-D9F9-53655C1ADEF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835640" y="1889760"/>
          <a:ext cx="335280" cy="335280"/>
        </a:xfrm>
        <a:prstGeom prst="rect">
          <a:avLst/>
        </a:prstGeom>
      </xdr:spPr>
    </xdr:pic>
    <xdr:clientData/>
  </xdr:twoCellAnchor>
  <xdr:twoCellAnchor editAs="oneCell">
    <xdr:from>
      <xdr:col>14</xdr:col>
      <xdr:colOff>464820</xdr:colOff>
      <xdr:row>6</xdr:row>
      <xdr:rowOff>160020</xdr:rowOff>
    </xdr:from>
    <xdr:to>
      <xdr:col>14</xdr:col>
      <xdr:colOff>777240</xdr:colOff>
      <xdr:row>8</xdr:row>
      <xdr:rowOff>106680</xdr:rowOff>
    </xdr:to>
    <xdr:pic>
      <xdr:nvPicPr>
        <xdr:cNvPr id="29" name="Gráfico 28" descr="Cubo contorno">
          <a:extLst>
            <a:ext uri="{FF2B5EF4-FFF2-40B4-BE49-F238E27FC236}">
              <a16:creationId xmlns:a16="http://schemas.microsoft.com/office/drawing/2014/main" id="{68A7B5C3-4DF4-9421-DCA4-8056E6B431E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542520" y="1318260"/>
          <a:ext cx="312420" cy="312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662940</xdr:colOff>
      <xdr:row>7</xdr:row>
      <xdr:rowOff>83820</xdr:rowOff>
    </xdr:from>
    <xdr:to>
      <xdr:col>8</xdr:col>
      <xdr:colOff>480060</xdr:colOff>
      <xdr:row>22</xdr:row>
      <xdr:rowOff>83820</xdr:rowOff>
    </xdr:to>
    <xdr:graphicFrame macro="">
      <xdr:nvGraphicFramePr>
        <xdr:cNvPr id="2" name="Gráfico 1">
          <a:extLst>
            <a:ext uri="{FF2B5EF4-FFF2-40B4-BE49-F238E27FC236}">
              <a16:creationId xmlns:a16="http://schemas.microsoft.com/office/drawing/2014/main" id="{BAC79789-4D36-6EB2-5FBB-8E6B43662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55245</xdr:rowOff>
    </xdr:from>
    <xdr:to>
      <xdr:col>5</xdr:col>
      <xdr:colOff>243840</xdr:colOff>
      <xdr:row>25</xdr:row>
      <xdr:rowOff>55245</xdr:rowOff>
    </xdr:to>
    <xdr:graphicFrame macro="">
      <xdr:nvGraphicFramePr>
        <xdr:cNvPr id="2" name="Gráfico 1">
          <a:extLst>
            <a:ext uri="{FF2B5EF4-FFF2-40B4-BE49-F238E27FC236}">
              <a16:creationId xmlns:a16="http://schemas.microsoft.com/office/drawing/2014/main" id="{2C37AD12-FC53-2985-3675-572A49533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373380</xdr:colOff>
      <xdr:row>10</xdr:row>
      <xdr:rowOff>51435</xdr:rowOff>
    </xdr:from>
    <xdr:to>
      <xdr:col>12</xdr:col>
      <xdr:colOff>15240</xdr:colOff>
      <xdr:row>25</xdr:row>
      <xdr:rowOff>51435</xdr:rowOff>
    </xdr:to>
    <xdr:graphicFrame macro="">
      <xdr:nvGraphicFramePr>
        <xdr:cNvPr id="3" name="Gráfico 2">
          <a:extLst>
            <a:ext uri="{FF2B5EF4-FFF2-40B4-BE49-F238E27FC236}">
              <a16:creationId xmlns:a16="http://schemas.microsoft.com/office/drawing/2014/main" id="{302EFC69-B1A7-784F-EC49-7D19B7768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112395</xdr:rowOff>
    </xdr:from>
    <xdr:to>
      <xdr:col>5</xdr:col>
      <xdr:colOff>327660</xdr:colOff>
      <xdr:row>40</xdr:row>
      <xdr:rowOff>112395</xdr:rowOff>
    </xdr:to>
    <xdr:graphicFrame macro="">
      <xdr:nvGraphicFramePr>
        <xdr:cNvPr id="4" name="Gráfico 3">
          <a:extLst>
            <a:ext uri="{FF2B5EF4-FFF2-40B4-BE49-F238E27FC236}">
              <a16:creationId xmlns:a16="http://schemas.microsoft.com/office/drawing/2014/main" id="{AD211604-CFCE-C50D-0A80-22B071BCC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81915</xdr:colOff>
      <xdr:row>5</xdr:row>
      <xdr:rowOff>15241</xdr:rowOff>
    </xdr:from>
    <xdr:to>
      <xdr:col>14</xdr:col>
      <xdr:colOff>0</xdr:colOff>
      <xdr:row>10</xdr:row>
      <xdr:rowOff>36196</xdr:rowOff>
    </xdr:to>
    <mc:AlternateContent xmlns:mc="http://schemas.openxmlformats.org/markup-compatibility/2006">
      <mc:Choice xmlns:a14="http://schemas.microsoft.com/office/drawing/2010/main" Requires="a14">
        <xdr:graphicFrame macro="">
          <xdr:nvGraphicFramePr>
            <xdr:cNvPr id="5" name="Categoria 1">
              <a:extLst>
                <a:ext uri="{FF2B5EF4-FFF2-40B4-BE49-F238E27FC236}">
                  <a16:creationId xmlns:a16="http://schemas.microsoft.com/office/drawing/2014/main" id="{18648638-7BCA-1862-0FC0-EBC4552398F8}"/>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dr:sp macro="" textlink="">
          <xdr:nvSpPr>
            <xdr:cNvPr id="0" name=""/>
            <xdr:cNvSpPr>
              <a:spLocks noTextEdit="1"/>
            </xdr:cNvSpPr>
          </xdr:nvSpPr>
          <xdr:spPr>
            <a:xfrm>
              <a:off x="10605135" y="929641"/>
              <a:ext cx="1830705" cy="114109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12</xdr:col>
      <xdr:colOff>80010</xdr:colOff>
      <xdr:row>10</xdr:row>
      <xdr:rowOff>135255</xdr:rowOff>
    </xdr:from>
    <xdr:to>
      <xdr:col>13</xdr:col>
      <xdr:colOff>790575</xdr:colOff>
      <xdr:row>20</xdr:row>
      <xdr:rowOff>160020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C2B565E0-D427-E8D3-1D49-DCB74BBF83C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603230" y="2169795"/>
              <a:ext cx="1830705" cy="185356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12</xdr:col>
      <xdr:colOff>127635</xdr:colOff>
      <xdr:row>22</xdr:row>
      <xdr:rowOff>38100</xdr:rowOff>
    </xdr:from>
    <xdr:to>
      <xdr:col>14</xdr:col>
      <xdr:colOff>45720</xdr:colOff>
      <xdr:row>36</xdr:row>
      <xdr:rowOff>85725</xdr:rowOff>
    </xdr:to>
    <mc:AlternateContent xmlns:mc="http://schemas.openxmlformats.org/markup-compatibility/2006">
      <mc:Choice xmlns:a14="http://schemas.microsoft.com/office/drawing/2010/main" Requires="a14">
        <xdr:graphicFrame macro="">
          <xdr:nvGraphicFramePr>
            <xdr:cNvPr id="7" name="Producto 1">
              <a:extLst>
                <a:ext uri="{FF2B5EF4-FFF2-40B4-BE49-F238E27FC236}">
                  <a16:creationId xmlns:a16="http://schemas.microsoft.com/office/drawing/2014/main" id="{FDB808AD-1E2F-0D77-275C-377965552457}"/>
                </a:ext>
              </a:extLst>
            </xdr:cNvPr>
            <xdr:cNvGraphicFramePr/>
          </xdr:nvGraphicFramePr>
          <xdr:xfrm>
            <a:off x="0" y="0"/>
            <a:ext cx="0" cy="0"/>
          </xdr:xfrm>
          <a:graphic>
            <a:graphicData uri="http://schemas.microsoft.com/office/drawing/2010/slicer">
              <sle:slicer xmlns:sle="http://schemas.microsoft.com/office/drawing/2010/slicer" name="Producto 1"/>
            </a:graphicData>
          </a:graphic>
        </xdr:graphicFrame>
      </mc:Choice>
      <mc:Fallback>
        <xdr:sp macro="" textlink="">
          <xdr:nvSpPr>
            <xdr:cNvPr id="0" name=""/>
            <xdr:cNvSpPr>
              <a:spLocks noTextEdit="1"/>
            </xdr:cNvSpPr>
          </xdr:nvSpPr>
          <xdr:spPr>
            <a:xfrm>
              <a:off x="10650855" y="4267200"/>
              <a:ext cx="1830705" cy="260794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xdr:col>
      <xdr:colOff>464820</xdr:colOff>
      <xdr:row>25</xdr:row>
      <xdr:rowOff>114300</xdr:rowOff>
    </xdr:from>
    <xdr:to>
      <xdr:col>11</xdr:col>
      <xdr:colOff>1127760</xdr:colOff>
      <xdr:row>40</xdr:row>
      <xdr:rowOff>91841</xdr:rowOff>
    </xdr:to>
    <xdr:graphicFrame macro="">
      <xdr:nvGraphicFramePr>
        <xdr:cNvPr id="8" name="Gráfico 7">
          <a:extLst>
            <a:ext uri="{FF2B5EF4-FFF2-40B4-BE49-F238E27FC236}">
              <a16:creationId xmlns:a16="http://schemas.microsoft.com/office/drawing/2014/main" id="{A76585E3-57FA-467A-981B-30FED4AD6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388620</xdr:colOff>
      <xdr:row>0</xdr:row>
      <xdr:rowOff>0</xdr:rowOff>
    </xdr:from>
    <xdr:to>
      <xdr:col>1</xdr:col>
      <xdr:colOff>1196340</xdr:colOff>
      <xdr:row>4</xdr:row>
      <xdr:rowOff>76200</xdr:rowOff>
    </xdr:to>
    <xdr:pic>
      <xdr:nvPicPr>
        <xdr:cNvPr id="10" name="Gráfico 9" descr="Gráfico de barras con relleno sólido">
          <a:extLst>
            <a:ext uri="{FF2B5EF4-FFF2-40B4-BE49-F238E27FC236}">
              <a16:creationId xmlns:a16="http://schemas.microsoft.com/office/drawing/2014/main" id="{BF795FA8-E1CA-FDA5-4DE0-DC12D6DD6B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24000" y="0"/>
          <a:ext cx="807720" cy="807720"/>
        </a:xfrm>
        <a:prstGeom prst="rect">
          <a:avLst/>
        </a:prstGeom>
      </xdr:spPr>
    </xdr:pic>
    <xdr:clientData/>
  </xdr:twoCellAnchor>
  <xdr:twoCellAnchor>
    <xdr:from>
      <xdr:col>2</xdr:col>
      <xdr:colOff>373380</xdr:colOff>
      <xdr:row>0</xdr:row>
      <xdr:rowOff>53340</xdr:rowOff>
    </xdr:from>
    <xdr:to>
      <xdr:col>2</xdr:col>
      <xdr:colOff>373380</xdr:colOff>
      <xdr:row>3</xdr:row>
      <xdr:rowOff>129540</xdr:rowOff>
    </xdr:to>
    <xdr:cxnSp macro="">
      <xdr:nvCxnSpPr>
        <xdr:cNvPr id="12" name="Conector recto 11">
          <a:extLst>
            <a:ext uri="{FF2B5EF4-FFF2-40B4-BE49-F238E27FC236}">
              <a16:creationId xmlns:a16="http://schemas.microsoft.com/office/drawing/2014/main" id="{C17BCBD7-4320-571D-44F0-D7CC8BBF248A}"/>
            </a:ext>
          </a:extLst>
        </xdr:cNvPr>
        <xdr:cNvCxnSpPr/>
      </xdr:nvCxnSpPr>
      <xdr:spPr>
        <a:xfrm>
          <a:off x="2628900" y="53340"/>
          <a:ext cx="0" cy="624840"/>
        </a:xfrm>
        <a:prstGeom prst="line">
          <a:avLst/>
        </a:prstGeom>
        <a:ln w="28575">
          <a:solidFill>
            <a:schemeClr val="accent1">
              <a:lumMod val="20000"/>
              <a:lumOff val="8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45720</xdr:colOff>
      <xdr:row>2</xdr:row>
      <xdr:rowOff>129540</xdr:rowOff>
    </xdr:from>
    <xdr:to>
      <xdr:col>15</xdr:col>
      <xdr:colOff>327660</xdr:colOff>
      <xdr:row>2</xdr:row>
      <xdr:rowOff>137160</xdr:rowOff>
    </xdr:to>
    <xdr:cxnSp macro="">
      <xdr:nvCxnSpPr>
        <xdr:cNvPr id="15" name="Conector recto 14">
          <a:extLst>
            <a:ext uri="{FF2B5EF4-FFF2-40B4-BE49-F238E27FC236}">
              <a16:creationId xmlns:a16="http://schemas.microsoft.com/office/drawing/2014/main" id="{46A1FBAF-70E6-D617-5BA2-331456E3BA2B}"/>
            </a:ext>
          </a:extLst>
        </xdr:cNvPr>
        <xdr:cNvCxnSpPr/>
      </xdr:nvCxnSpPr>
      <xdr:spPr>
        <a:xfrm flipV="1">
          <a:off x="10896600" y="495300"/>
          <a:ext cx="1074420" cy="7620"/>
        </a:xfrm>
        <a:prstGeom prst="line">
          <a:avLst/>
        </a:prstGeom>
        <a:ln>
          <a:solidFill>
            <a:schemeClr val="tx2">
              <a:lumMod val="25000"/>
              <a:lumOff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13</xdr:col>
      <xdr:colOff>76200</xdr:colOff>
      <xdr:row>0</xdr:row>
      <xdr:rowOff>0</xdr:rowOff>
    </xdr:from>
    <xdr:to>
      <xdr:col>13</xdr:col>
      <xdr:colOff>708660</xdr:colOff>
      <xdr:row>3</xdr:row>
      <xdr:rowOff>83820</xdr:rowOff>
    </xdr:to>
    <xdr:pic>
      <xdr:nvPicPr>
        <xdr:cNvPr id="17" name="Gráfico 16" descr="Carro de la compra con relleno sólido">
          <a:extLst>
            <a:ext uri="{FF2B5EF4-FFF2-40B4-BE49-F238E27FC236}">
              <a16:creationId xmlns:a16="http://schemas.microsoft.com/office/drawing/2014/main" id="{2006B170-451A-B94B-7184-7F8EEB7A3AB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134600" y="0"/>
          <a:ext cx="632460" cy="632460"/>
        </a:xfrm>
        <a:prstGeom prst="rect">
          <a:avLst/>
        </a:prstGeom>
      </xdr:spPr>
    </xdr:pic>
    <xdr:clientData/>
  </xdr:twoCellAnchor>
  <xdr:twoCellAnchor editAs="oneCell">
    <xdr:from>
      <xdr:col>0</xdr:col>
      <xdr:colOff>121920</xdr:colOff>
      <xdr:row>6</xdr:row>
      <xdr:rowOff>0</xdr:rowOff>
    </xdr:from>
    <xdr:to>
      <xdr:col>0</xdr:col>
      <xdr:colOff>815340</xdr:colOff>
      <xdr:row>8</xdr:row>
      <xdr:rowOff>281940</xdr:rowOff>
    </xdr:to>
    <xdr:pic>
      <xdr:nvPicPr>
        <xdr:cNvPr id="20" name="Gráfico 19" descr="Monedas con relleno sólido">
          <a:extLst>
            <a:ext uri="{FF2B5EF4-FFF2-40B4-BE49-F238E27FC236}">
              <a16:creationId xmlns:a16="http://schemas.microsoft.com/office/drawing/2014/main" id="{67D5A1F6-0A3B-DEB1-83AE-228EF4BC4C1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 y="1112520"/>
          <a:ext cx="693420" cy="693420"/>
        </a:xfrm>
        <a:prstGeom prst="rect">
          <a:avLst/>
        </a:prstGeom>
      </xdr:spPr>
    </xdr:pic>
    <xdr:clientData/>
  </xdr:twoCellAnchor>
  <xdr:twoCellAnchor editAs="oneCell">
    <xdr:from>
      <xdr:col>3</xdr:col>
      <xdr:colOff>220980</xdr:colOff>
      <xdr:row>5</xdr:row>
      <xdr:rowOff>167640</xdr:rowOff>
    </xdr:from>
    <xdr:to>
      <xdr:col>4</xdr:col>
      <xdr:colOff>678180</xdr:colOff>
      <xdr:row>8</xdr:row>
      <xdr:rowOff>259080</xdr:rowOff>
    </xdr:to>
    <xdr:pic>
      <xdr:nvPicPr>
        <xdr:cNvPr id="22" name="Gráfico 21" descr="Caja con relleno sólido">
          <a:extLst>
            <a:ext uri="{FF2B5EF4-FFF2-40B4-BE49-F238E27FC236}">
              <a16:creationId xmlns:a16="http://schemas.microsoft.com/office/drawing/2014/main" id="{5209B3EF-4D45-FDD6-DED2-BBD487FC67A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41420" y="1082040"/>
          <a:ext cx="701040" cy="701040"/>
        </a:xfrm>
        <a:prstGeom prst="rect">
          <a:avLst/>
        </a:prstGeom>
      </xdr:spPr>
    </xdr:pic>
    <xdr:clientData/>
  </xdr:twoCellAnchor>
  <xdr:twoCellAnchor editAs="oneCell">
    <xdr:from>
      <xdr:col>8</xdr:col>
      <xdr:colOff>274320</xdr:colOff>
      <xdr:row>5</xdr:row>
      <xdr:rowOff>83820</xdr:rowOff>
    </xdr:from>
    <xdr:to>
      <xdr:col>10</xdr:col>
      <xdr:colOff>15240</xdr:colOff>
      <xdr:row>8</xdr:row>
      <xdr:rowOff>320040</xdr:rowOff>
    </xdr:to>
    <xdr:pic>
      <xdr:nvPicPr>
        <xdr:cNvPr id="24" name="Gráfico 23" descr="Sellos discográfico con relleno sólido">
          <a:extLst>
            <a:ext uri="{FF2B5EF4-FFF2-40B4-BE49-F238E27FC236}">
              <a16:creationId xmlns:a16="http://schemas.microsoft.com/office/drawing/2014/main" id="{C5442999-D0AD-C279-BB86-E2D70CE48D7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08520" y="998220"/>
          <a:ext cx="845820" cy="845820"/>
        </a:xfrm>
        <a:prstGeom prst="rect">
          <a:avLst/>
        </a:prstGeom>
      </xdr:spPr>
    </xdr:pic>
    <xdr:clientData/>
  </xdr:twoCellAnchor>
  <xdr:twoCellAnchor editAs="oneCell">
    <xdr:from>
      <xdr:col>0</xdr:col>
      <xdr:colOff>182880</xdr:colOff>
      <xdr:row>65</xdr:row>
      <xdr:rowOff>38100</xdr:rowOff>
    </xdr:from>
    <xdr:to>
      <xdr:col>0</xdr:col>
      <xdr:colOff>960120</xdr:colOff>
      <xdr:row>80</xdr:row>
      <xdr:rowOff>38100</xdr:rowOff>
    </xdr:to>
    <xdr:pic>
      <xdr:nvPicPr>
        <xdr:cNvPr id="26" name="Gráfico 25" descr="Bombilla y equipo con relleno sólido">
          <a:extLst>
            <a:ext uri="{FF2B5EF4-FFF2-40B4-BE49-F238E27FC236}">
              <a16:creationId xmlns:a16="http://schemas.microsoft.com/office/drawing/2014/main" id="{135BEC04-B06E-D09A-23C4-E79ECFF22F0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2880" y="7741920"/>
          <a:ext cx="777240" cy="777240"/>
        </a:xfrm>
        <a:prstGeom prst="rect">
          <a:avLst/>
        </a:prstGeom>
      </xdr:spPr>
    </xdr:pic>
    <xdr:clientData/>
  </xdr:twoCellAnchor>
  <xdr:twoCellAnchor>
    <xdr:from>
      <xdr:col>1</xdr:col>
      <xdr:colOff>1516380</xdr:colOff>
      <xdr:row>65</xdr:row>
      <xdr:rowOff>83820</xdr:rowOff>
    </xdr:from>
    <xdr:to>
      <xdr:col>1</xdr:col>
      <xdr:colOff>1524000</xdr:colOff>
      <xdr:row>81</xdr:row>
      <xdr:rowOff>0</xdr:rowOff>
    </xdr:to>
    <xdr:cxnSp macro="">
      <xdr:nvCxnSpPr>
        <xdr:cNvPr id="28" name="Conector recto 27">
          <a:extLst>
            <a:ext uri="{FF2B5EF4-FFF2-40B4-BE49-F238E27FC236}">
              <a16:creationId xmlns:a16="http://schemas.microsoft.com/office/drawing/2014/main" id="{82850FA7-C699-9406-5F8B-6DE16D346612}"/>
            </a:ext>
          </a:extLst>
        </xdr:cNvPr>
        <xdr:cNvCxnSpPr/>
      </xdr:nvCxnSpPr>
      <xdr:spPr>
        <a:xfrm>
          <a:off x="2651760" y="7787640"/>
          <a:ext cx="7620" cy="876300"/>
        </a:xfrm>
        <a:prstGeom prst="line">
          <a:avLst/>
        </a:prstGeom>
        <a:ln>
          <a:solidFill>
            <a:schemeClr val="accent1">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129540</xdr:colOff>
      <xdr:row>66</xdr:row>
      <xdr:rowOff>99060</xdr:rowOff>
    </xdr:from>
    <xdr:to>
      <xdr:col>2</xdr:col>
      <xdr:colOff>419100</xdr:colOff>
      <xdr:row>67</xdr:row>
      <xdr:rowOff>175260</xdr:rowOff>
    </xdr:to>
    <xdr:sp macro="" textlink="">
      <xdr:nvSpPr>
        <xdr:cNvPr id="29" name="Elipse 28">
          <a:extLst>
            <a:ext uri="{FF2B5EF4-FFF2-40B4-BE49-F238E27FC236}">
              <a16:creationId xmlns:a16="http://schemas.microsoft.com/office/drawing/2014/main" id="{D43D2110-082E-4A4F-722B-8417EF336542}"/>
            </a:ext>
          </a:extLst>
        </xdr:cNvPr>
        <xdr:cNvSpPr/>
      </xdr:nvSpPr>
      <xdr:spPr>
        <a:xfrm>
          <a:off x="2857500" y="7985760"/>
          <a:ext cx="289560" cy="304800"/>
        </a:xfrm>
        <a:prstGeom prst="ellipse">
          <a:avLst/>
        </a:prstGeom>
        <a:solidFill>
          <a:srgbClr val="FF00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s-AR" sz="1100"/>
        </a:p>
      </xdr:txBody>
    </xdr:sp>
    <xdr:clientData/>
  </xdr:twoCellAnchor>
  <xdr:twoCellAnchor>
    <xdr:from>
      <xdr:col>2</xdr:col>
      <xdr:colOff>175260</xdr:colOff>
      <xdr:row>66</xdr:row>
      <xdr:rowOff>114300</xdr:rowOff>
    </xdr:from>
    <xdr:to>
      <xdr:col>2</xdr:col>
      <xdr:colOff>365760</xdr:colOff>
      <xdr:row>67</xdr:row>
      <xdr:rowOff>121920</xdr:rowOff>
    </xdr:to>
    <xdr:sp macro="" textlink="">
      <xdr:nvSpPr>
        <xdr:cNvPr id="30" name="CuadroTexto 29">
          <a:extLst>
            <a:ext uri="{FF2B5EF4-FFF2-40B4-BE49-F238E27FC236}">
              <a16:creationId xmlns:a16="http://schemas.microsoft.com/office/drawing/2014/main" id="{25BA684A-214D-B8EE-D9BB-C78DD4BD30B4}"/>
            </a:ext>
          </a:extLst>
        </xdr:cNvPr>
        <xdr:cNvSpPr txBox="1">
          <a:spLocks/>
        </xdr:cNvSpPr>
      </xdr:nvSpPr>
      <xdr:spPr>
        <a:xfrm>
          <a:off x="2903220" y="8001000"/>
          <a:ext cx="190500" cy="236220"/>
        </a:xfrm>
        <a:prstGeom prst="rect">
          <a:avLst/>
        </a:prstGeom>
        <a:solidFill>
          <a:srgbClr val="FF0000"/>
        </a:solidFill>
        <a:ln w="9525" cmpd="sng">
          <a:solidFill>
            <a:schemeClr val="lt1">
              <a:shade val="50000"/>
            </a:schemeClr>
          </a:solidFill>
        </a:ln>
        <a:effectLst>
          <a:outerShdw blurRad="50800" dir="600000" algn="l" rotWithShape="0">
            <a:srgbClr val="FF0000"/>
          </a:outerShdw>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AR" sz="1100">
              <a:solidFill>
                <a:schemeClr val="dk1"/>
              </a:solidFill>
            </a:rPr>
            <a:t>1</a:t>
          </a:r>
        </a:p>
      </xdr:txBody>
    </xdr:sp>
    <xdr:clientData/>
  </xdr:twoCellAnchor>
  <xdr:twoCellAnchor>
    <xdr:from>
      <xdr:col>6</xdr:col>
      <xdr:colOff>259080</xdr:colOff>
      <xdr:row>65</xdr:row>
      <xdr:rowOff>106680</xdr:rowOff>
    </xdr:from>
    <xdr:to>
      <xdr:col>6</xdr:col>
      <xdr:colOff>259080</xdr:colOff>
      <xdr:row>81</xdr:row>
      <xdr:rowOff>15240</xdr:rowOff>
    </xdr:to>
    <xdr:cxnSp macro="">
      <xdr:nvCxnSpPr>
        <xdr:cNvPr id="33" name="Conector recto 32">
          <a:extLst>
            <a:ext uri="{FF2B5EF4-FFF2-40B4-BE49-F238E27FC236}">
              <a16:creationId xmlns:a16="http://schemas.microsoft.com/office/drawing/2014/main" id="{91B56225-1E01-3C0C-A975-BF09F8B621B3}"/>
            </a:ext>
          </a:extLst>
        </xdr:cNvPr>
        <xdr:cNvCxnSpPr/>
      </xdr:nvCxnSpPr>
      <xdr:spPr>
        <a:xfrm>
          <a:off x="5608320" y="7810500"/>
          <a:ext cx="0" cy="868680"/>
        </a:xfrm>
        <a:prstGeom prst="line">
          <a:avLst/>
        </a:prstGeom>
        <a:ln w="19050">
          <a:solidFill>
            <a:schemeClr val="accent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373380</xdr:colOff>
      <xdr:row>66</xdr:row>
      <xdr:rowOff>129540</xdr:rowOff>
    </xdr:from>
    <xdr:to>
      <xdr:col>6</xdr:col>
      <xdr:colOff>640080</xdr:colOff>
      <xdr:row>79</xdr:row>
      <xdr:rowOff>15240</xdr:rowOff>
    </xdr:to>
    <xdr:sp macro="" textlink="">
      <xdr:nvSpPr>
        <xdr:cNvPr id="36" name="Elipse 35">
          <a:extLst>
            <a:ext uri="{FF2B5EF4-FFF2-40B4-BE49-F238E27FC236}">
              <a16:creationId xmlns:a16="http://schemas.microsoft.com/office/drawing/2014/main" id="{689906E5-5996-4D0D-EB3E-BC2EE6574C74}"/>
            </a:ext>
          </a:extLst>
        </xdr:cNvPr>
        <xdr:cNvSpPr/>
      </xdr:nvSpPr>
      <xdr:spPr>
        <a:xfrm>
          <a:off x="5722620" y="8016240"/>
          <a:ext cx="266700" cy="297180"/>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6</xdr:col>
      <xdr:colOff>419100</xdr:colOff>
      <xdr:row>66</xdr:row>
      <xdr:rowOff>152400</xdr:rowOff>
    </xdr:from>
    <xdr:to>
      <xdr:col>6</xdr:col>
      <xdr:colOff>533400</xdr:colOff>
      <xdr:row>67</xdr:row>
      <xdr:rowOff>160020</xdr:rowOff>
    </xdr:to>
    <xdr:sp macro="" textlink="">
      <xdr:nvSpPr>
        <xdr:cNvPr id="37" name="CuadroTexto 36">
          <a:extLst>
            <a:ext uri="{FF2B5EF4-FFF2-40B4-BE49-F238E27FC236}">
              <a16:creationId xmlns:a16="http://schemas.microsoft.com/office/drawing/2014/main" id="{64590930-227C-E412-DA81-E1B99E09D0F6}"/>
            </a:ext>
          </a:extLst>
        </xdr:cNvPr>
        <xdr:cNvSpPr txBox="1"/>
      </xdr:nvSpPr>
      <xdr:spPr>
        <a:xfrm>
          <a:off x="5768340" y="8039100"/>
          <a:ext cx="114300" cy="23622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a:t>2</a:t>
          </a:r>
        </a:p>
      </xdr:txBody>
    </xdr:sp>
    <xdr:clientData/>
  </xdr:twoCellAnchor>
  <xdr:twoCellAnchor>
    <xdr:from>
      <xdr:col>10</xdr:col>
      <xdr:colOff>228600</xdr:colOff>
      <xdr:row>65</xdr:row>
      <xdr:rowOff>137160</xdr:rowOff>
    </xdr:from>
    <xdr:to>
      <xdr:col>10</xdr:col>
      <xdr:colOff>228600</xdr:colOff>
      <xdr:row>81</xdr:row>
      <xdr:rowOff>7620</xdr:rowOff>
    </xdr:to>
    <xdr:cxnSp macro="">
      <xdr:nvCxnSpPr>
        <xdr:cNvPr id="39" name="Conector recto 38">
          <a:extLst>
            <a:ext uri="{FF2B5EF4-FFF2-40B4-BE49-F238E27FC236}">
              <a16:creationId xmlns:a16="http://schemas.microsoft.com/office/drawing/2014/main" id="{2E21AEFF-2FA2-4BCB-C481-D45A3B32A594}"/>
            </a:ext>
          </a:extLst>
        </xdr:cNvPr>
        <xdr:cNvCxnSpPr/>
      </xdr:nvCxnSpPr>
      <xdr:spPr>
        <a:xfrm>
          <a:off x="8267700" y="7840980"/>
          <a:ext cx="0" cy="830580"/>
        </a:xfrm>
        <a:prstGeom prst="line">
          <a:avLst/>
        </a:prstGeom>
        <a:ln>
          <a:solidFill>
            <a:schemeClr val="accent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297180</xdr:colOff>
      <xdr:row>66</xdr:row>
      <xdr:rowOff>167640</xdr:rowOff>
    </xdr:from>
    <xdr:to>
      <xdr:col>10</xdr:col>
      <xdr:colOff>571500</xdr:colOff>
      <xdr:row>79</xdr:row>
      <xdr:rowOff>45720</xdr:rowOff>
    </xdr:to>
    <xdr:sp macro="" textlink="">
      <xdr:nvSpPr>
        <xdr:cNvPr id="40" name="Elipse 39">
          <a:extLst>
            <a:ext uri="{FF2B5EF4-FFF2-40B4-BE49-F238E27FC236}">
              <a16:creationId xmlns:a16="http://schemas.microsoft.com/office/drawing/2014/main" id="{32ACAC57-599B-B2E4-1A69-6A8CAA2DA920}"/>
            </a:ext>
          </a:extLst>
        </xdr:cNvPr>
        <xdr:cNvSpPr/>
      </xdr:nvSpPr>
      <xdr:spPr>
        <a:xfrm>
          <a:off x="8336280" y="8054340"/>
          <a:ext cx="274320" cy="289560"/>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10</xdr:col>
      <xdr:colOff>327660</xdr:colOff>
      <xdr:row>66</xdr:row>
      <xdr:rowOff>205740</xdr:rowOff>
    </xdr:from>
    <xdr:to>
      <xdr:col>10</xdr:col>
      <xdr:colOff>502920</xdr:colOff>
      <xdr:row>67</xdr:row>
      <xdr:rowOff>175260</xdr:rowOff>
    </xdr:to>
    <xdr:sp macro="" textlink="">
      <xdr:nvSpPr>
        <xdr:cNvPr id="41" name="CuadroTexto 40">
          <a:extLst>
            <a:ext uri="{FF2B5EF4-FFF2-40B4-BE49-F238E27FC236}">
              <a16:creationId xmlns:a16="http://schemas.microsoft.com/office/drawing/2014/main" id="{A8A3EB65-16D3-9BD3-7BED-08DEA61385FE}"/>
            </a:ext>
          </a:extLst>
        </xdr:cNvPr>
        <xdr:cNvSpPr txBox="1"/>
      </xdr:nvSpPr>
      <xdr:spPr>
        <a:xfrm>
          <a:off x="8366760" y="8092440"/>
          <a:ext cx="175260" cy="198120"/>
        </a:xfrm>
        <a:prstGeom prst="rect">
          <a:avLst/>
        </a:prstGeom>
        <a:solidFill>
          <a:srgbClr val="FF0000"/>
        </a:solidFill>
        <a:ln w="9525" cmpd="sng">
          <a:solidFill>
            <a:srgbClr val="FF0000"/>
          </a:solidFill>
        </a:ln>
        <a:effectLst>
          <a:outerShdw blurRad="50800" dist="50800" dir="5400000" algn="ctr" rotWithShape="0">
            <a:srgbClr val="FF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a:t>3</a:t>
          </a:r>
        </a:p>
      </xdr:txBody>
    </xdr:sp>
    <xdr:clientData/>
  </xdr:twoCellAnchor>
  <xdr:twoCellAnchor>
    <xdr:from>
      <xdr:col>1</xdr:col>
      <xdr:colOff>129540</xdr:colOff>
      <xdr:row>13</xdr:row>
      <xdr:rowOff>91440</xdr:rowOff>
    </xdr:from>
    <xdr:to>
      <xdr:col>1</xdr:col>
      <xdr:colOff>784860</xdr:colOff>
      <xdr:row>13</xdr:row>
      <xdr:rowOff>91440</xdr:rowOff>
    </xdr:to>
    <xdr:cxnSp macro="">
      <xdr:nvCxnSpPr>
        <xdr:cNvPr id="43" name="Conector recto 42">
          <a:extLst>
            <a:ext uri="{FF2B5EF4-FFF2-40B4-BE49-F238E27FC236}">
              <a16:creationId xmlns:a16="http://schemas.microsoft.com/office/drawing/2014/main" id="{91092114-22BA-5C45-E739-BFD2323BFC9D}"/>
            </a:ext>
          </a:extLst>
        </xdr:cNvPr>
        <xdr:cNvCxnSpPr/>
      </xdr:nvCxnSpPr>
      <xdr:spPr>
        <a:xfrm>
          <a:off x="1264920" y="2674620"/>
          <a:ext cx="655320" cy="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624840</xdr:colOff>
      <xdr:row>42</xdr:row>
      <xdr:rowOff>0</xdr:rowOff>
    </xdr:from>
    <xdr:to>
      <xdr:col>12</xdr:col>
      <xdr:colOff>198120</xdr:colOff>
      <xdr:row>64</xdr:row>
      <xdr:rowOff>7620</xdr:rowOff>
    </xdr:to>
    <mc:AlternateContent xmlns:mc="http://schemas.openxmlformats.org/markup-compatibility/2006">
      <mc:Choice xmlns:cx1="http://schemas.microsoft.com/office/drawing/2015/9/8/chartex" Requires="cx1">
        <xdr:graphicFrame macro="">
          <xdr:nvGraphicFramePr>
            <xdr:cNvPr id="44" name="Gráfico 43">
              <a:extLst>
                <a:ext uri="{FF2B5EF4-FFF2-40B4-BE49-F238E27FC236}">
                  <a16:creationId xmlns:a16="http://schemas.microsoft.com/office/drawing/2014/main" id="{4C53F681-B2C4-4D5C-BF7D-30D264AFEF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760220" y="7886700"/>
              <a:ext cx="8961120" cy="4030980"/>
            </a:xfrm>
            <a:prstGeom prst="rect">
              <a:avLst/>
            </a:prstGeom>
            <a:solidFill>
              <a:prstClr val="white"/>
            </a:solidFill>
            <a:ln w="1">
              <a:solidFill>
                <a:prstClr val="green"/>
              </a:solidFill>
            </a:ln>
          </xdr:spPr>
          <xdr:txBody>
            <a:bodyPr vertOverflow="clip" horzOverflow="clip"/>
            <a:lstStyle/>
            <a:p>
              <a:r>
                <a:rPr lang="es-AR"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4</xdr:col>
      <xdr:colOff>678180</xdr:colOff>
      <xdr:row>9</xdr:row>
      <xdr:rowOff>8305</xdr:rowOff>
    </xdr:from>
    <xdr:to>
      <xdr:col>5</xdr:col>
      <xdr:colOff>0</xdr:colOff>
      <xdr:row>9</xdr:row>
      <xdr:rowOff>167639</xdr:rowOff>
    </xdr:to>
    <xdr:pic>
      <xdr:nvPicPr>
        <xdr:cNvPr id="48" name="Gráfico 47" descr="Flecha arriba con relleno sólido">
          <a:extLst>
            <a:ext uri="{FF2B5EF4-FFF2-40B4-BE49-F238E27FC236}">
              <a16:creationId xmlns:a16="http://schemas.microsoft.com/office/drawing/2014/main" id="{76FCF36D-F0F0-F4D3-141E-BC475AD5F8A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419600" y="1859965"/>
          <a:ext cx="114300" cy="159334"/>
        </a:xfrm>
        <a:prstGeom prst="rect">
          <a:avLst/>
        </a:prstGeom>
      </xdr:spPr>
    </xdr:pic>
    <xdr:clientData/>
  </xdr:twoCellAnchor>
  <xdr:twoCellAnchor editAs="oneCell">
    <xdr:from>
      <xdr:col>9</xdr:col>
      <xdr:colOff>708660</xdr:colOff>
      <xdr:row>9</xdr:row>
      <xdr:rowOff>0</xdr:rowOff>
    </xdr:from>
    <xdr:to>
      <xdr:col>10</xdr:col>
      <xdr:colOff>30480</xdr:colOff>
      <xdr:row>9</xdr:row>
      <xdr:rowOff>159334</xdr:rowOff>
    </xdr:to>
    <xdr:pic>
      <xdr:nvPicPr>
        <xdr:cNvPr id="49" name="Gráfico 48" descr="Flecha arriba con relleno sólido">
          <a:extLst>
            <a:ext uri="{FF2B5EF4-FFF2-40B4-BE49-F238E27FC236}">
              <a16:creationId xmlns:a16="http://schemas.microsoft.com/office/drawing/2014/main" id="{20D3EB42-3903-49FB-9900-9319E525FA5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932420" y="1851660"/>
          <a:ext cx="114300" cy="159334"/>
        </a:xfrm>
        <a:prstGeom prst="rect">
          <a:avLst/>
        </a:prstGeom>
      </xdr:spPr>
    </xdr:pic>
    <xdr:clientData/>
  </xdr:twoCellAnchor>
  <xdr:twoCellAnchor editAs="oneCell">
    <xdr:from>
      <xdr:col>0</xdr:col>
      <xdr:colOff>990600</xdr:colOff>
      <xdr:row>9</xdr:row>
      <xdr:rowOff>0</xdr:rowOff>
    </xdr:from>
    <xdr:to>
      <xdr:col>0</xdr:col>
      <xdr:colOff>1104900</xdr:colOff>
      <xdr:row>9</xdr:row>
      <xdr:rowOff>159334</xdr:rowOff>
    </xdr:to>
    <xdr:pic>
      <xdr:nvPicPr>
        <xdr:cNvPr id="50" name="Gráfico 49" descr="Flecha arriba con relleno sólido">
          <a:extLst>
            <a:ext uri="{FF2B5EF4-FFF2-40B4-BE49-F238E27FC236}">
              <a16:creationId xmlns:a16="http://schemas.microsoft.com/office/drawing/2014/main" id="{52A65D80-62EE-496A-BF66-AE7DAFC3A27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90600" y="1851660"/>
          <a:ext cx="114300" cy="159334"/>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0.33694</cdr:x>
      <cdr:y>0.21181</cdr:y>
    </cdr:from>
    <cdr:to>
      <cdr:x>0.4479</cdr:x>
      <cdr:y>0.21181</cdr:y>
    </cdr:to>
    <cdr:cxnSp macro="">
      <cdr:nvCxnSpPr>
        <cdr:cNvPr id="3" name="Conector recto 2">
          <a:extLst xmlns:a="http://schemas.openxmlformats.org/drawingml/2006/main">
            <a:ext uri="{FF2B5EF4-FFF2-40B4-BE49-F238E27FC236}">
              <a16:creationId xmlns:a16="http://schemas.microsoft.com/office/drawing/2014/main" id="{CF3E2578-2C34-9420-24DD-E93101660523}"/>
            </a:ext>
          </a:extLst>
        </cdr:cNvPr>
        <cdr:cNvCxnSpPr/>
      </cdr:nvCxnSpPr>
      <cdr:spPr>
        <a:xfrm xmlns:a="http://schemas.openxmlformats.org/drawingml/2006/main">
          <a:off x="1897380" y="581025"/>
          <a:ext cx="624840" cy="0"/>
        </a:xfrm>
        <a:prstGeom xmlns:a="http://schemas.openxmlformats.org/drawingml/2006/main" prst="line">
          <a:avLst/>
        </a:prstGeom>
        <a:ln xmlns:a="http://schemas.openxmlformats.org/drawingml/2006/main">
          <a:solidFill>
            <a:srgbClr val="FF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266700</xdr:colOff>
          <xdr:row>3</xdr:row>
          <xdr:rowOff>60960</xdr:rowOff>
        </xdr:from>
        <xdr:to>
          <xdr:col>3</xdr:col>
          <xdr:colOff>160020</xdr:colOff>
          <xdr:row>6</xdr:row>
          <xdr:rowOff>30480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FE29E110-1EAB-6151-4315-92909D680A1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xdr:row>
          <xdr:rowOff>91440</xdr:rowOff>
        </xdr:from>
        <xdr:to>
          <xdr:col>5</xdr:col>
          <xdr:colOff>716280</xdr:colOff>
          <xdr:row>6</xdr:row>
          <xdr:rowOff>38100</xdr:rowOff>
        </xdr:to>
        <xdr:sp macro="" textlink="">
          <xdr:nvSpPr>
            <xdr:cNvPr id="13315" name="Object 3" hidden="1">
              <a:extLst>
                <a:ext uri="{63B3BB69-23CF-44E3-9099-C40C66FF867C}">
                  <a14:compatExt spid="_x0000_s13315"/>
                </a:ext>
                <a:ext uri="{FF2B5EF4-FFF2-40B4-BE49-F238E27FC236}">
                  <a16:creationId xmlns:a16="http://schemas.microsoft.com/office/drawing/2014/main" id="{B18DAD08-9C8B-7748-F881-73EFD307D3C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PreEntrega_ModeloBI_DominguezNadia.xlsx#BgEIDA4ADAMGBAcBBAQECw=12.0"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Bau Nadia" refreshedDate="46295.857930671293" createdVersion="8" refreshedVersion="8" minRefreshableVersion="3" recordCount="60" xr:uid="{F561095C-7B30-4003-BF0A-6862FDD9C4BB}">
  <cacheSource type="worksheet">
    <worksheetSource name="Tabla2_1"/>
  </cacheSource>
  <cacheFields count="11">
    <cacheField name="IDVenta" numFmtId="0">
      <sharedItems containsSemiMixedTypes="0" containsString="0" containsNumber="1" containsInteger="1" minValue="1001" maxValue="1060"/>
    </cacheField>
    <cacheField name="Fecha" numFmtId="22">
      <sharedItems containsSemiMixedTypes="0" containsNonDate="0" containsDate="1" containsString="0" minDate="2026-01-06T00:00:00" maxDate="2026-07-01T00:00:00"/>
    </cacheField>
    <cacheField name="Cliente" numFmtId="0">
      <sharedItems containsBlank="1"/>
    </cacheField>
    <cacheField name="Producto" numFmtId="0">
      <sharedItems/>
    </cacheField>
    <cacheField name="Categoria" numFmtId="0">
      <sharedItems count="2">
        <s v="Hogar"/>
        <s v="Tecnología"/>
      </sharedItems>
    </cacheField>
    <cacheField name="Region" numFmtId="0">
      <sharedItems containsBlank="1" count="5">
        <s v="Centro"/>
        <s v="Norte"/>
        <s v="Oeste"/>
        <s v="Sur"/>
        <m/>
      </sharedItems>
    </cacheField>
    <cacheField name="Cantidad" numFmtId="0">
      <sharedItems containsSemiMixedTypes="0" containsString="0" containsNumber="1" containsInteger="1" minValue="1" maxValue="8"/>
    </cacheField>
    <cacheField name="Precio" numFmtId="44">
      <sharedItems containsSemiMixedTypes="0" containsString="0" containsNumber="1" containsInteger="1" minValue="45000" maxValue="850000"/>
    </cacheField>
    <cacheField name="Costo" numFmtId="44">
      <sharedItems containsSemiMixedTypes="0" containsString="0" containsNumber="1" containsInteger="1" minValue="25000" maxValue="650000"/>
    </cacheField>
    <cacheField name="Venta Total" numFmtId="0">
      <sharedItems containsSemiMixedTypes="0" containsString="0" containsNumber="1" containsInteger="1" minValue="45000" maxValue="6800000"/>
    </cacheField>
    <cacheField name="Costo Total" numFmtId="0">
      <sharedItems containsSemiMixedTypes="0" containsString="0" containsNumber="1" containsInteger="1" minValue="25000" maxValue="5200000"/>
    </cacheField>
  </cacheFields>
  <extLst>
    <ext xmlns:x14="http://schemas.microsoft.com/office/spreadsheetml/2009/9/main" uri="{725AE2AE-9491-48be-B2B4-4EB974FC3084}">
      <x14:pivotCacheDefinition pivotCacheId="5357363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Bau Nadia" refreshedDate="46295.857931018516" createdVersion="8" refreshedVersion="8" minRefreshableVersion="3" recordCount="60" xr:uid="{1F89DE2C-88B4-4812-B177-544A087EA22B}">
  <cacheSource type="worksheet">
    <worksheetSource name="Tabla2"/>
  </cacheSource>
  <cacheFields count="11">
    <cacheField name="IDVenta" numFmtId="0">
      <sharedItems containsSemiMixedTypes="0" containsString="0" containsNumber="1" containsInteger="1" minValue="1001" maxValue="1060"/>
    </cacheField>
    <cacheField name="Fecha" numFmtId="14">
      <sharedItems containsSemiMixedTypes="0" containsNonDate="0" containsDate="1" containsString="0" minDate="2026-01-06T00:00:00" maxDate="2026-07-01T00:00:00"/>
    </cacheField>
    <cacheField name="Cliente" numFmtId="0">
      <sharedItems containsBlank="1"/>
    </cacheField>
    <cacheField name="Producto" numFmtId="0">
      <sharedItems count="8">
        <s v="Escritorio"/>
        <s v="Notebook"/>
        <s v="Mouse"/>
        <s v="Lámpara"/>
        <s v="Auriculares"/>
        <s v="Monitor"/>
        <s v="Teclado"/>
        <s v="Silla"/>
      </sharedItems>
    </cacheField>
    <cacheField name="Categoria" numFmtId="0">
      <sharedItems/>
    </cacheField>
    <cacheField name="Region" numFmtId="0">
      <sharedItems containsBlank="1"/>
    </cacheField>
    <cacheField name="Cantidad" numFmtId="0">
      <sharedItems containsSemiMixedTypes="0" containsString="0" containsNumber="1" containsInteger="1" minValue="1" maxValue="8"/>
    </cacheField>
    <cacheField name="Precio" numFmtId="0">
      <sharedItems containsSemiMixedTypes="0" containsString="0" containsNumber="1" containsInteger="1" minValue="45000" maxValue="850000"/>
    </cacheField>
    <cacheField name="Costo" numFmtId="0">
      <sharedItems containsSemiMixedTypes="0" containsString="0" containsNumber="1" containsInteger="1" minValue="25000" maxValue="650000"/>
    </cacheField>
    <cacheField name="Venta Total" numFmtId="0">
      <sharedItems containsSemiMixedTypes="0" containsString="0" containsNumber="1" containsInteger="1" minValue="45000" maxValue="6800000"/>
    </cacheField>
    <cacheField name="Costo Total" numFmtId="0">
      <sharedItems containsSemiMixedTypes="0" containsString="0" containsNumber="1" containsInteger="1" minValue="25000" maxValue="5200000"/>
    </cacheField>
  </cacheFields>
  <extLst>
    <ext xmlns:x14="http://schemas.microsoft.com/office/spreadsheetml/2009/9/main" uri="{725AE2AE-9491-48be-B2B4-4EB974FC3084}">
      <x14:pivotCacheDefinition pivotCacheId="1358104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Bau Nadia" refreshedDate="46295.857942361108" createdVersion="8" refreshedVersion="8" minRefreshableVersion="3" recordCount="60" xr:uid="{625E5F78-708C-4C47-A9B3-B8315ACFC1E3}">
  <cacheSource type="worksheet">
    <worksheetSource ref="A1:I61" sheet="Ventas_TP8" r:id="rId2"/>
  </cacheSource>
  <cacheFields count="9">
    <cacheField name="IDVenta" numFmtId="0">
      <sharedItems containsSemiMixedTypes="0" containsString="0" containsNumber="1" containsInteger="1" minValue="1001" maxValue="1060"/>
    </cacheField>
    <cacheField name="Fecha" numFmtId="14">
      <sharedItems containsSemiMixedTypes="0" containsNonDate="0" containsDate="1" containsString="0" minDate="2026-01-06T00:00:00" maxDate="2026-07-01T00:00:00"/>
    </cacheField>
    <cacheField name="Cliente" numFmtId="0">
      <sharedItems containsBlank="1"/>
    </cacheField>
    <cacheField name="Producto" numFmtId="0">
      <sharedItems count="8">
        <s v="Escritorio"/>
        <s v="Notebook"/>
        <s v="Mouse"/>
        <s v="Lámpara"/>
        <s v="Auriculares"/>
        <s v="Monitor"/>
        <s v="Teclado"/>
        <s v="Silla"/>
      </sharedItems>
    </cacheField>
    <cacheField name="Categoria" numFmtId="0">
      <sharedItems count="2">
        <s v="Hogar"/>
        <s v="Tecnología"/>
      </sharedItems>
    </cacheField>
    <cacheField name="Region" numFmtId="0">
      <sharedItems containsBlank="1" count="5">
        <s v="Centro"/>
        <s v="Norte"/>
        <s v="Oeste"/>
        <s v="Sur"/>
        <m/>
      </sharedItems>
    </cacheField>
    <cacheField name="Cantidad" numFmtId="0">
      <sharedItems containsSemiMixedTypes="0" containsString="0" containsNumber="1" containsInteger="1" minValue="1" maxValue="8"/>
    </cacheField>
    <cacheField name="Precio" numFmtId="0">
      <sharedItems containsSemiMixedTypes="0" containsString="0" containsNumber="1" containsInteger="1" minValue="45000" maxValue="850000"/>
    </cacheField>
    <cacheField name="Costo" numFmtId="0">
      <sharedItems containsSemiMixedTypes="0" containsString="0" containsNumber="1" containsInteger="1" minValue="25000" maxValue="650000"/>
    </cacheField>
  </cacheFields>
  <extLst>
    <ext xmlns:x14="http://schemas.microsoft.com/office/spreadsheetml/2009/9/main" uri="{725AE2AE-9491-48be-B2B4-4EB974FC3084}">
      <x14:pivotCacheDefinition pivotCacheId="1204203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001"/>
    <d v="2026-02-28T00:00:00"/>
    <s v="Cliente 3"/>
    <s v="Escritorio"/>
    <x v="0"/>
    <x v="0"/>
    <n v="7"/>
    <n v="290000"/>
    <n v="185000"/>
    <n v="2030000"/>
    <n v="1295000"/>
  </r>
  <r>
    <n v="1002"/>
    <d v="2026-06-30T00:00:00"/>
    <s v="Cliente 3"/>
    <s v="Notebook"/>
    <x v="1"/>
    <x v="0"/>
    <n v="2"/>
    <n v="850000"/>
    <n v="650000"/>
    <n v="1700000"/>
    <n v="1300000"/>
  </r>
  <r>
    <n v="1003"/>
    <d v="2026-05-10T00:00:00"/>
    <s v="Cliente 11"/>
    <s v="Mouse"/>
    <x v="1"/>
    <x v="1"/>
    <n v="7"/>
    <n v="45000"/>
    <n v="25000"/>
    <n v="315000"/>
    <n v="175000"/>
  </r>
  <r>
    <n v="1004"/>
    <d v="2026-04-28T00:00:00"/>
    <s v="Cliente 7"/>
    <s v="Lámpara"/>
    <x v="0"/>
    <x v="2"/>
    <n v="8"/>
    <n v="75000"/>
    <n v="42000"/>
    <n v="600000"/>
    <n v="336000"/>
  </r>
  <r>
    <n v="1005"/>
    <d v="2026-05-27T00:00:00"/>
    <s v="Cliente 2"/>
    <s v="Mouse"/>
    <x v="1"/>
    <x v="2"/>
    <n v="7"/>
    <n v="45000"/>
    <n v="25000"/>
    <n v="315000"/>
    <n v="175000"/>
  </r>
  <r>
    <n v="1006"/>
    <d v="2026-03-01T00:00:00"/>
    <s v="Cliente 9"/>
    <s v="Notebook"/>
    <x v="1"/>
    <x v="2"/>
    <n v="5"/>
    <n v="850000"/>
    <n v="650000"/>
    <n v="4250000"/>
    <n v="3250000"/>
  </r>
  <r>
    <n v="1007"/>
    <d v="2026-05-02T00:00:00"/>
    <s v="Cliente 11"/>
    <s v="Auriculares"/>
    <x v="1"/>
    <x v="3"/>
    <n v="2"/>
    <n v="120000"/>
    <n v="70000"/>
    <n v="240000"/>
    <n v="140000"/>
  </r>
  <r>
    <n v="1008"/>
    <d v="2026-01-25T00:00:00"/>
    <s v="Cliente 10"/>
    <s v="Monitor"/>
    <x v="1"/>
    <x v="2"/>
    <n v="7"/>
    <n v="320000"/>
    <n v="230000"/>
    <n v="2240000"/>
    <n v="1610000"/>
  </r>
  <r>
    <n v="1009"/>
    <d v="2026-01-28T00:00:00"/>
    <s v="Cliente 4"/>
    <s v="Notebook"/>
    <x v="1"/>
    <x v="1"/>
    <n v="6"/>
    <n v="850000"/>
    <n v="650000"/>
    <n v="5100000"/>
    <n v="3900000"/>
  </r>
  <r>
    <n v="1010"/>
    <d v="2026-05-08T00:00:00"/>
    <s v="Cliente 10"/>
    <s v="Mouse"/>
    <x v="1"/>
    <x v="1"/>
    <n v="3"/>
    <n v="45000"/>
    <n v="25000"/>
    <n v="135000"/>
    <n v="75000"/>
  </r>
  <r>
    <n v="1011"/>
    <d v="2026-05-19T00:00:00"/>
    <s v="Cliente 12"/>
    <s v="Notebook"/>
    <x v="1"/>
    <x v="0"/>
    <n v="8"/>
    <n v="850000"/>
    <n v="650000"/>
    <n v="6800000"/>
    <n v="5200000"/>
  </r>
  <r>
    <n v="1012"/>
    <d v="2026-02-07T00:00:00"/>
    <s v="Cliente 5"/>
    <s v="Lámpara"/>
    <x v="0"/>
    <x v="3"/>
    <n v="8"/>
    <n v="75000"/>
    <n v="42000"/>
    <n v="600000"/>
    <n v="336000"/>
  </r>
  <r>
    <n v="1013"/>
    <d v="2026-04-20T00:00:00"/>
    <s v="Cliente 13"/>
    <s v="Teclado"/>
    <x v="1"/>
    <x v="1"/>
    <n v="3"/>
    <n v="85000"/>
    <n v="52000"/>
    <n v="255000"/>
    <n v="156000"/>
  </r>
  <r>
    <n v="1014"/>
    <d v="2026-05-17T00:00:00"/>
    <s v="Cliente 11"/>
    <s v="Escritorio"/>
    <x v="0"/>
    <x v="2"/>
    <n v="6"/>
    <n v="290000"/>
    <n v="185000"/>
    <n v="1740000"/>
    <n v="1110000"/>
  </r>
  <r>
    <n v="1015"/>
    <d v="2026-05-09T00:00:00"/>
    <s v="Cliente 3"/>
    <s v="Mouse"/>
    <x v="1"/>
    <x v="3"/>
    <n v="5"/>
    <n v="45000"/>
    <n v="25000"/>
    <n v="225000"/>
    <n v="125000"/>
  </r>
  <r>
    <n v="1016"/>
    <d v="2026-05-16T00:00:00"/>
    <s v="Cliente 13"/>
    <s v="Silla"/>
    <x v="0"/>
    <x v="0"/>
    <n v="2"/>
    <n v="180000"/>
    <n v="110000"/>
    <n v="360000"/>
    <n v="220000"/>
  </r>
  <r>
    <n v="1017"/>
    <d v="2026-03-30T00:00:00"/>
    <s v="Cliente 5"/>
    <s v="Mouse"/>
    <x v="1"/>
    <x v="4"/>
    <n v="1"/>
    <n v="45000"/>
    <n v="25000"/>
    <n v="45000"/>
    <n v="25000"/>
  </r>
  <r>
    <n v="1018"/>
    <d v="2026-02-26T00:00:00"/>
    <s v="Cliente 7"/>
    <s v="Silla"/>
    <x v="0"/>
    <x v="3"/>
    <n v="1"/>
    <n v="180000"/>
    <n v="110000"/>
    <n v="180000"/>
    <n v="110000"/>
  </r>
  <r>
    <n v="1019"/>
    <d v="2026-04-07T00:00:00"/>
    <s v="Cliente 3"/>
    <s v="Silla"/>
    <x v="0"/>
    <x v="2"/>
    <n v="7"/>
    <n v="180000"/>
    <n v="110000"/>
    <n v="1260000"/>
    <n v="770000"/>
  </r>
  <r>
    <n v="1020"/>
    <d v="2026-01-30T00:00:00"/>
    <s v="Cliente 4"/>
    <s v="Teclado"/>
    <x v="1"/>
    <x v="0"/>
    <n v="1"/>
    <n v="85000"/>
    <n v="52000"/>
    <n v="85000"/>
    <n v="52000"/>
  </r>
  <r>
    <n v="1021"/>
    <d v="2026-03-18T00:00:00"/>
    <s v="Cliente 13"/>
    <s v="Monitor"/>
    <x v="1"/>
    <x v="2"/>
    <n v="1"/>
    <n v="320000"/>
    <n v="230000"/>
    <n v="320000"/>
    <n v="230000"/>
  </r>
  <r>
    <n v="1022"/>
    <d v="2026-03-29T00:00:00"/>
    <s v="Cliente 15"/>
    <s v="Teclado"/>
    <x v="1"/>
    <x v="0"/>
    <n v="7"/>
    <n v="85000"/>
    <n v="52000"/>
    <n v="595000"/>
    <n v="364000"/>
  </r>
  <r>
    <n v="1023"/>
    <d v="2026-02-05T00:00:00"/>
    <m/>
    <s v="Auriculares"/>
    <x v="1"/>
    <x v="2"/>
    <n v="8"/>
    <n v="120000"/>
    <n v="70000"/>
    <n v="960000"/>
    <n v="560000"/>
  </r>
  <r>
    <n v="1024"/>
    <d v="2026-01-21T00:00:00"/>
    <s v="Cliente 12"/>
    <s v="Monitor"/>
    <x v="1"/>
    <x v="1"/>
    <n v="5"/>
    <n v="320000"/>
    <n v="230000"/>
    <n v="1600000"/>
    <n v="1150000"/>
  </r>
  <r>
    <n v="1025"/>
    <d v="2026-01-09T00:00:00"/>
    <s v="Cliente 13"/>
    <s v="Monitor"/>
    <x v="1"/>
    <x v="3"/>
    <n v="2"/>
    <n v="320000"/>
    <n v="230000"/>
    <n v="640000"/>
    <n v="460000"/>
  </r>
  <r>
    <n v="1026"/>
    <d v="2026-02-09T00:00:00"/>
    <s v="Cliente 10"/>
    <s v="Lámpara"/>
    <x v="0"/>
    <x v="1"/>
    <n v="3"/>
    <n v="75000"/>
    <n v="42000"/>
    <n v="225000"/>
    <n v="126000"/>
  </r>
  <r>
    <n v="1027"/>
    <d v="2026-02-18T00:00:00"/>
    <s v="Cliente 6"/>
    <s v="Notebook"/>
    <x v="1"/>
    <x v="2"/>
    <n v="3"/>
    <n v="850000"/>
    <n v="650000"/>
    <n v="2550000"/>
    <n v="1950000"/>
  </r>
  <r>
    <n v="1028"/>
    <d v="2026-06-18T00:00:00"/>
    <s v="Cliente 6"/>
    <s v="Monitor"/>
    <x v="1"/>
    <x v="3"/>
    <n v="5"/>
    <n v="320000"/>
    <n v="230000"/>
    <n v="1600000"/>
    <n v="1150000"/>
  </r>
  <r>
    <n v="1029"/>
    <d v="2026-04-04T00:00:00"/>
    <s v="Cliente 4"/>
    <s v="Notebook"/>
    <x v="1"/>
    <x v="1"/>
    <n v="8"/>
    <n v="850000"/>
    <n v="650000"/>
    <n v="6800000"/>
    <n v="5200000"/>
  </r>
  <r>
    <n v="1030"/>
    <d v="2026-06-08T00:00:00"/>
    <s v="Cliente 3"/>
    <s v="Notebook"/>
    <x v="1"/>
    <x v="3"/>
    <n v="3"/>
    <n v="850000"/>
    <n v="650000"/>
    <n v="2550000"/>
    <n v="1950000"/>
  </r>
  <r>
    <n v="1031"/>
    <d v="2026-04-21T00:00:00"/>
    <s v="Cliente 2"/>
    <s v="Lámpara"/>
    <x v="0"/>
    <x v="0"/>
    <n v="2"/>
    <n v="75000"/>
    <n v="42000"/>
    <n v="150000"/>
    <n v="84000"/>
  </r>
  <r>
    <n v="1032"/>
    <d v="2026-06-04T00:00:00"/>
    <s v="Cliente 13"/>
    <s v="Mouse"/>
    <x v="1"/>
    <x v="2"/>
    <n v="8"/>
    <n v="45000"/>
    <n v="25000"/>
    <n v="360000"/>
    <n v="200000"/>
  </r>
  <r>
    <n v="1033"/>
    <d v="2026-02-09T00:00:00"/>
    <s v="Cliente 2"/>
    <s v="Auriculares"/>
    <x v="1"/>
    <x v="2"/>
    <n v="2"/>
    <n v="120000"/>
    <n v="70000"/>
    <n v="240000"/>
    <n v="140000"/>
  </r>
  <r>
    <n v="1034"/>
    <d v="2026-06-15T00:00:00"/>
    <s v="Cliente 9"/>
    <s v="Teclado"/>
    <x v="1"/>
    <x v="1"/>
    <n v="8"/>
    <n v="85000"/>
    <n v="52000"/>
    <n v="680000"/>
    <n v="416000"/>
  </r>
  <r>
    <n v="1035"/>
    <d v="2026-05-01T00:00:00"/>
    <s v="Cliente 8"/>
    <s v="Auriculares"/>
    <x v="1"/>
    <x v="0"/>
    <n v="6"/>
    <n v="120000"/>
    <n v="70000"/>
    <n v="720000"/>
    <n v="420000"/>
  </r>
  <r>
    <n v="1036"/>
    <d v="2026-01-14T00:00:00"/>
    <s v="Cliente 8"/>
    <s v="Mouse"/>
    <x v="1"/>
    <x v="1"/>
    <n v="1"/>
    <n v="45000"/>
    <n v="25000"/>
    <n v="45000"/>
    <n v="25000"/>
  </r>
  <r>
    <n v="1037"/>
    <d v="2026-01-28T00:00:00"/>
    <s v="Cliente 12"/>
    <s v="Mouse"/>
    <x v="1"/>
    <x v="1"/>
    <n v="1"/>
    <n v="45000"/>
    <n v="25000"/>
    <n v="45000"/>
    <n v="25000"/>
  </r>
  <r>
    <n v="1038"/>
    <d v="2026-06-17T00:00:00"/>
    <s v="Cliente 9"/>
    <s v="Escritorio"/>
    <x v="0"/>
    <x v="1"/>
    <n v="7"/>
    <n v="290000"/>
    <n v="185000"/>
    <n v="2030000"/>
    <n v="1295000"/>
  </r>
  <r>
    <n v="1039"/>
    <d v="2026-06-03T00:00:00"/>
    <s v="Cliente 6"/>
    <s v="Mouse"/>
    <x v="1"/>
    <x v="2"/>
    <n v="4"/>
    <n v="45000"/>
    <n v="25000"/>
    <n v="180000"/>
    <n v="100000"/>
  </r>
  <r>
    <n v="1040"/>
    <d v="2026-05-14T00:00:00"/>
    <s v="Cliente 5"/>
    <s v="Mouse"/>
    <x v="1"/>
    <x v="3"/>
    <n v="1"/>
    <n v="45000"/>
    <n v="25000"/>
    <n v="45000"/>
    <n v="25000"/>
  </r>
  <r>
    <n v="1041"/>
    <d v="2026-01-21T00:00:00"/>
    <s v="Cliente 4"/>
    <s v="Escritorio"/>
    <x v="0"/>
    <x v="3"/>
    <n v="7"/>
    <n v="290000"/>
    <n v="185000"/>
    <n v="2030000"/>
    <n v="1295000"/>
  </r>
  <r>
    <n v="1042"/>
    <d v="2026-01-21T00:00:00"/>
    <s v="Cliente 13"/>
    <s v="Auriculares"/>
    <x v="1"/>
    <x v="4"/>
    <n v="6"/>
    <n v="120000"/>
    <n v="70000"/>
    <n v="720000"/>
    <n v="420000"/>
  </r>
  <r>
    <n v="1043"/>
    <d v="2026-05-13T00:00:00"/>
    <s v="Cliente 13"/>
    <s v="Silla"/>
    <x v="0"/>
    <x v="3"/>
    <n v="6"/>
    <n v="180000"/>
    <n v="110000"/>
    <n v="1080000"/>
    <n v="660000"/>
  </r>
  <r>
    <n v="1044"/>
    <d v="2026-06-16T00:00:00"/>
    <s v="Cliente 8"/>
    <s v="Monitor"/>
    <x v="1"/>
    <x v="3"/>
    <n v="4"/>
    <n v="320000"/>
    <n v="230000"/>
    <n v="1280000"/>
    <n v="920000"/>
  </r>
  <r>
    <n v="1045"/>
    <d v="2026-04-07T00:00:00"/>
    <s v="Cliente 5"/>
    <s v="Silla"/>
    <x v="0"/>
    <x v="2"/>
    <n v="4"/>
    <n v="180000"/>
    <n v="110000"/>
    <n v="720000"/>
    <n v="440000"/>
  </r>
  <r>
    <n v="1046"/>
    <d v="2026-06-06T00:00:00"/>
    <s v="Cliente 14"/>
    <s v="Auriculares"/>
    <x v="1"/>
    <x v="3"/>
    <n v="6"/>
    <n v="120000"/>
    <n v="70000"/>
    <n v="720000"/>
    <n v="420000"/>
  </r>
  <r>
    <n v="1047"/>
    <d v="2026-06-22T00:00:00"/>
    <s v="Cliente 8"/>
    <s v="Auriculares"/>
    <x v="1"/>
    <x v="1"/>
    <n v="4"/>
    <n v="120000"/>
    <n v="70000"/>
    <n v="480000"/>
    <n v="280000"/>
  </r>
  <r>
    <n v="1048"/>
    <d v="2026-03-10T00:00:00"/>
    <s v="Cliente 8"/>
    <s v="Teclado"/>
    <x v="1"/>
    <x v="3"/>
    <n v="2"/>
    <n v="85000"/>
    <n v="52000"/>
    <n v="170000"/>
    <n v="104000"/>
  </r>
  <r>
    <n v="1049"/>
    <d v="2026-04-18T00:00:00"/>
    <s v="Cliente 5"/>
    <s v="Monitor"/>
    <x v="1"/>
    <x v="3"/>
    <n v="5"/>
    <n v="320000"/>
    <n v="230000"/>
    <n v="1600000"/>
    <n v="1150000"/>
  </r>
  <r>
    <n v="1050"/>
    <d v="2026-05-10T00:00:00"/>
    <s v="Cliente 15"/>
    <s v="Silla"/>
    <x v="0"/>
    <x v="2"/>
    <n v="5"/>
    <n v="180000"/>
    <n v="110000"/>
    <n v="900000"/>
    <n v="550000"/>
  </r>
  <r>
    <n v="1051"/>
    <d v="2026-03-04T00:00:00"/>
    <m/>
    <s v="Escritorio"/>
    <x v="0"/>
    <x v="2"/>
    <n v="4"/>
    <n v="290000"/>
    <n v="185000"/>
    <n v="1160000"/>
    <n v="740000"/>
  </r>
  <r>
    <n v="1052"/>
    <d v="2026-03-05T00:00:00"/>
    <s v="Cliente 6"/>
    <s v="Mouse"/>
    <x v="1"/>
    <x v="2"/>
    <n v="4"/>
    <n v="45000"/>
    <n v="25000"/>
    <n v="180000"/>
    <n v="100000"/>
  </r>
  <r>
    <n v="1053"/>
    <d v="2026-01-28T00:00:00"/>
    <s v="Cliente 2"/>
    <s v="Monitor"/>
    <x v="1"/>
    <x v="0"/>
    <n v="7"/>
    <n v="320000"/>
    <n v="230000"/>
    <n v="2240000"/>
    <n v="1610000"/>
  </r>
  <r>
    <n v="1054"/>
    <d v="2026-05-26T00:00:00"/>
    <s v="Cliente 13"/>
    <s v="Auriculares"/>
    <x v="1"/>
    <x v="0"/>
    <n v="1"/>
    <n v="120000"/>
    <n v="70000"/>
    <n v="120000"/>
    <n v="70000"/>
  </r>
  <r>
    <n v="1055"/>
    <d v="2026-01-06T00:00:00"/>
    <s v="Cliente 2"/>
    <s v="Mouse"/>
    <x v="1"/>
    <x v="1"/>
    <n v="5"/>
    <n v="45000"/>
    <n v="25000"/>
    <n v="225000"/>
    <n v="125000"/>
  </r>
  <r>
    <n v="1056"/>
    <d v="2026-04-29T00:00:00"/>
    <s v="Cliente 15"/>
    <s v="Lámpara"/>
    <x v="0"/>
    <x v="1"/>
    <n v="5"/>
    <n v="75000"/>
    <n v="42000"/>
    <n v="375000"/>
    <n v="210000"/>
  </r>
  <r>
    <n v="1057"/>
    <d v="2026-02-02T00:00:00"/>
    <s v="Cliente 6"/>
    <s v="Escritorio"/>
    <x v="0"/>
    <x v="1"/>
    <n v="2"/>
    <n v="290000"/>
    <n v="185000"/>
    <n v="580000"/>
    <n v="370000"/>
  </r>
  <r>
    <n v="1058"/>
    <d v="2026-01-22T00:00:00"/>
    <s v="Cliente 14"/>
    <s v="Teclado"/>
    <x v="1"/>
    <x v="1"/>
    <n v="6"/>
    <n v="85000"/>
    <n v="52000"/>
    <n v="510000"/>
    <n v="312000"/>
  </r>
  <r>
    <n v="1059"/>
    <d v="2026-03-01T00:00:00"/>
    <s v="Cliente 4"/>
    <s v="Notebook"/>
    <x v="1"/>
    <x v="3"/>
    <n v="6"/>
    <n v="850000"/>
    <n v="650000"/>
    <n v="5100000"/>
    <n v="3900000"/>
  </r>
  <r>
    <n v="1060"/>
    <d v="2026-04-02T00:00:00"/>
    <s v="Cliente 9"/>
    <s v="Escritorio"/>
    <x v="0"/>
    <x v="1"/>
    <n v="2"/>
    <n v="290000"/>
    <n v="185000"/>
    <n v="580000"/>
    <n v="37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001"/>
    <d v="2026-02-28T00:00:00"/>
    <s v="Cliente 3"/>
    <x v="0"/>
    <s v="Hogar"/>
    <s v="Centro"/>
    <n v="7"/>
    <n v="290000"/>
    <n v="185000"/>
    <n v="2030000"/>
    <n v="1295000"/>
  </r>
  <r>
    <n v="1002"/>
    <d v="2026-06-30T00:00:00"/>
    <s v="Cliente 3"/>
    <x v="1"/>
    <s v="Tecnología"/>
    <s v="Centro"/>
    <n v="2"/>
    <n v="850000"/>
    <n v="650000"/>
    <n v="1700000"/>
    <n v="1300000"/>
  </r>
  <r>
    <n v="1003"/>
    <d v="2026-05-10T00:00:00"/>
    <s v="Cliente 11"/>
    <x v="2"/>
    <s v="Tecnología"/>
    <s v="Norte"/>
    <n v="7"/>
    <n v="45000"/>
    <n v="25000"/>
    <n v="315000"/>
    <n v="175000"/>
  </r>
  <r>
    <n v="1004"/>
    <d v="2026-04-28T00:00:00"/>
    <s v="Cliente 7"/>
    <x v="3"/>
    <s v="Hogar"/>
    <s v="Oeste"/>
    <n v="8"/>
    <n v="75000"/>
    <n v="42000"/>
    <n v="600000"/>
    <n v="336000"/>
  </r>
  <r>
    <n v="1005"/>
    <d v="2026-05-27T00:00:00"/>
    <s v="Cliente 2"/>
    <x v="2"/>
    <s v="Tecnología"/>
    <s v="Oeste"/>
    <n v="7"/>
    <n v="45000"/>
    <n v="25000"/>
    <n v="315000"/>
    <n v="175000"/>
  </r>
  <r>
    <n v="1006"/>
    <d v="2026-03-01T00:00:00"/>
    <s v="Cliente 9"/>
    <x v="1"/>
    <s v="Tecnología"/>
    <s v="Oeste"/>
    <n v="5"/>
    <n v="850000"/>
    <n v="650000"/>
    <n v="4250000"/>
    <n v="3250000"/>
  </r>
  <r>
    <n v="1007"/>
    <d v="2026-05-02T00:00:00"/>
    <s v="Cliente 11"/>
    <x v="4"/>
    <s v="Tecnología"/>
    <s v="Sur"/>
    <n v="2"/>
    <n v="120000"/>
    <n v="70000"/>
    <n v="240000"/>
    <n v="140000"/>
  </r>
  <r>
    <n v="1008"/>
    <d v="2026-01-25T00:00:00"/>
    <s v="Cliente 10"/>
    <x v="5"/>
    <s v="Tecnología"/>
    <s v="Oeste"/>
    <n v="7"/>
    <n v="320000"/>
    <n v="230000"/>
    <n v="2240000"/>
    <n v="1610000"/>
  </r>
  <r>
    <n v="1009"/>
    <d v="2026-01-28T00:00:00"/>
    <s v="Cliente 4"/>
    <x v="1"/>
    <s v="Tecnología"/>
    <s v="Norte"/>
    <n v="6"/>
    <n v="850000"/>
    <n v="650000"/>
    <n v="5100000"/>
    <n v="3900000"/>
  </r>
  <r>
    <n v="1010"/>
    <d v="2026-05-08T00:00:00"/>
    <s v="Cliente 10"/>
    <x v="2"/>
    <s v="Tecnología"/>
    <s v="Norte"/>
    <n v="3"/>
    <n v="45000"/>
    <n v="25000"/>
    <n v="135000"/>
    <n v="75000"/>
  </r>
  <r>
    <n v="1011"/>
    <d v="2026-05-19T00:00:00"/>
    <s v="Cliente 12"/>
    <x v="1"/>
    <s v="Tecnología"/>
    <s v="Centro"/>
    <n v="8"/>
    <n v="850000"/>
    <n v="650000"/>
    <n v="6800000"/>
    <n v="5200000"/>
  </r>
  <r>
    <n v="1012"/>
    <d v="2026-02-07T00:00:00"/>
    <s v="Cliente 5"/>
    <x v="3"/>
    <s v="Hogar"/>
    <s v="Sur"/>
    <n v="8"/>
    <n v="75000"/>
    <n v="42000"/>
    <n v="600000"/>
    <n v="336000"/>
  </r>
  <r>
    <n v="1013"/>
    <d v="2026-04-20T00:00:00"/>
    <s v="Cliente 13"/>
    <x v="6"/>
    <s v="Tecnología"/>
    <s v="Norte"/>
    <n v="3"/>
    <n v="85000"/>
    <n v="52000"/>
    <n v="255000"/>
    <n v="156000"/>
  </r>
  <r>
    <n v="1014"/>
    <d v="2026-05-17T00:00:00"/>
    <s v="Cliente 11"/>
    <x v="0"/>
    <s v="Hogar"/>
    <s v="Oeste"/>
    <n v="6"/>
    <n v="290000"/>
    <n v="185000"/>
    <n v="1740000"/>
    <n v="1110000"/>
  </r>
  <r>
    <n v="1015"/>
    <d v="2026-05-09T00:00:00"/>
    <s v="Cliente 3"/>
    <x v="2"/>
    <s v="Tecnología"/>
    <s v="Sur"/>
    <n v="5"/>
    <n v="45000"/>
    <n v="25000"/>
    <n v="225000"/>
    <n v="125000"/>
  </r>
  <r>
    <n v="1016"/>
    <d v="2026-05-16T00:00:00"/>
    <s v="Cliente 13"/>
    <x v="7"/>
    <s v="Hogar"/>
    <s v="Centro"/>
    <n v="2"/>
    <n v="180000"/>
    <n v="110000"/>
    <n v="360000"/>
    <n v="220000"/>
  </r>
  <r>
    <n v="1017"/>
    <d v="2026-03-30T00:00:00"/>
    <s v="Cliente 5"/>
    <x v="2"/>
    <s v="Tecnología"/>
    <m/>
    <n v="1"/>
    <n v="45000"/>
    <n v="25000"/>
    <n v="45000"/>
    <n v="25000"/>
  </r>
  <r>
    <n v="1018"/>
    <d v="2026-02-26T00:00:00"/>
    <s v="Cliente 7"/>
    <x v="7"/>
    <s v="Hogar"/>
    <s v="Sur"/>
    <n v="1"/>
    <n v="180000"/>
    <n v="110000"/>
    <n v="180000"/>
    <n v="110000"/>
  </r>
  <r>
    <n v="1019"/>
    <d v="2026-04-07T00:00:00"/>
    <s v="Cliente 3"/>
    <x v="7"/>
    <s v="Hogar"/>
    <s v="Oeste"/>
    <n v="7"/>
    <n v="180000"/>
    <n v="110000"/>
    <n v="1260000"/>
    <n v="770000"/>
  </r>
  <r>
    <n v="1020"/>
    <d v="2026-01-30T00:00:00"/>
    <s v="Cliente 4"/>
    <x v="6"/>
    <s v="Tecnología"/>
    <s v="Centro"/>
    <n v="1"/>
    <n v="85000"/>
    <n v="52000"/>
    <n v="85000"/>
    <n v="52000"/>
  </r>
  <r>
    <n v="1021"/>
    <d v="2026-03-18T00:00:00"/>
    <s v="Cliente 13"/>
    <x v="5"/>
    <s v="Tecnología"/>
    <s v="Oeste"/>
    <n v="1"/>
    <n v="320000"/>
    <n v="230000"/>
    <n v="320000"/>
    <n v="230000"/>
  </r>
  <r>
    <n v="1022"/>
    <d v="2026-03-29T00:00:00"/>
    <s v="Cliente 15"/>
    <x v="6"/>
    <s v="Tecnología"/>
    <s v="Centro"/>
    <n v="7"/>
    <n v="85000"/>
    <n v="52000"/>
    <n v="595000"/>
    <n v="364000"/>
  </r>
  <r>
    <n v="1023"/>
    <d v="2026-02-05T00:00:00"/>
    <m/>
    <x v="4"/>
    <s v="Tecnología"/>
    <s v="Oeste"/>
    <n v="8"/>
    <n v="120000"/>
    <n v="70000"/>
    <n v="960000"/>
    <n v="560000"/>
  </r>
  <r>
    <n v="1024"/>
    <d v="2026-01-21T00:00:00"/>
    <s v="Cliente 12"/>
    <x v="5"/>
    <s v="Tecnología"/>
    <s v="Norte"/>
    <n v="5"/>
    <n v="320000"/>
    <n v="230000"/>
    <n v="1600000"/>
    <n v="1150000"/>
  </r>
  <r>
    <n v="1025"/>
    <d v="2026-01-09T00:00:00"/>
    <s v="Cliente 13"/>
    <x v="5"/>
    <s v="Tecnología"/>
    <s v="Sur"/>
    <n v="2"/>
    <n v="320000"/>
    <n v="230000"/>
    <n v="640000"/>
    <n v="460000"/>
  </r>
  <r>
    <n v="1026"/>
    <d v="2026-02-09T00:00:00"/>
    <s v="Cliente 10"/>
    <x v="3"/>
    <s v="Hogar"/>
    <s v="Norte"/>
    <n v="3"/>
    <n v="75000"/>
    <n v="42000"/>
    <n v="225000"/>
    <n v="126000"/>
  </r>
  <r>
    <n v="1027"/>
    <d v="2026-02-18T00:00:00"/>
    <s v="Cliente 6"/>
    <x v="1"/>
    <s v="Tecnología"/>
    <s v="Oeste"/>
    <n v="3"/>
    <n v="850000"/>
    <n v="650000"/>
    <n v="2550000"/>
    <n v="1950000"/>
  </r>
  <r>
    <n v="1028"/>
    <d v="2026-06-18T00:00:00"/>
    <s v="Cliente 6"/>
    <x v="5"/>
    <s v="Tecnología"/>
    <s v="Sur"/>
    <n v="5"/>
    <n v="320000"/>
    <n v="230000"/>
    <n v="1600000"/>
    <n v="1150000"/>
  </r>
  <r>
    <n v="1029"/>
    <d v="2026-04-04T00:00:00"/>
    <s v="Cliente 4"/>
    <x v="1"/>
    <s v="Tecnología"/>
    <s v="Norte"/>
    <n v="8"/>
    <n v="850000"/>
    <n v="650000"/>
    <n v="6800000"/>
    <n v="5200000"/>
  </r>
  <r>
    <n v="1030"/>
    <d v="2026-06-08T00:00:00"/>
    <s v="Cliente 3"/>
    <x v="1"/>
    <s v="Tecnología"/>
    <s v="Sur"/>
    <n v="3"/>
    <n v="850000"/>
    <n v="650000"/>
    <n v="2550000"/>
    <n v="1950000"/>
  </r>
  <r>
    <n v="1031"/>
    <d v="2026-04-21T00:00:00"/>
    <s v="Cliente 2"/>
    <x v="3"/>
    <s v="Hogar"/>
    <s v="Centro"/>
    <n v="2"/>
    <n v="75000"/>
    <n v="42000"/>
    <n v="150000"/>
    <n v="84000"/>
  </r>
  <r>
    <n v="1032"/>
    <d v="2026-06-04T00:00:00"/>
    <s v="Cliente 13"/>
    <x v="2"/>
    <s v="Tecnología"/>
    <s v="Oeste"/>
    <n v="8"/>
    <n v="45000"/>
    <n v="25000"/>
    <n v="360000"/>
    <n v="200000"/>
  </r>
  <r>
    <n v="1033"/>
    <d v="2026-02-09T00:00:00"/>
    <s v="Cliente 2"/>
    <x v="4"/>
    <s v="Tecnología"/>
    <s v="Oeste"/>
    <n v="2"/>
    <n v="120000"/>
    <n v="70000"/>
    <n v="240000"/>
    <n v="140000"/>
  </r>
  <r>
    <n v="1034"/>
    <d v="2026-06-15T00:00:00"/>
    <s v="Cliente 9"/>
    <x v="6"/>
    <s v="Tecnología"/>
    <s v="Norte"/>
    <n v="8"/>
    <n v="85000"/>
    <n v="52000"/>
    <n v="680000"/>
    <n v="416000"/>
  </r>
  <r>
    <n v="1035"/>
    <d v="2026-05-01T00:00:00"/>
    <s v="Cliente 8"/>
    <x v="4"/>
    <s v="Tecnología"/>
    <s v="Centro"/>
    <n v="6"/>
    <n v="120000"/>
    <n v="70000"/>
    <n v="720000"/>
    <n v="420000"/>
  </r>
  <r>
    <n v="1036"/>
    <d v="2026-01-14T00:00:00"/>
    <s v="Cliente 8"/>
    <x v="2"/>
    <s v="Tecnología"/>
    <s v="Norte"/>
    <n v="1"/>
    <n v="45000"/>
    <n v="25000"/>
    <n v="45000"/>
    <n v="25000"/>
  </r>
  <r>
    <n v="1037"/>
    <d v="2026-01-28T00:00:00"/>
    <s v="Cliente 12"/>
    <x v="2"/>
    <s v="Tecnología"/>
    <s v="Norte"/>
    <n v="1"/>
    <n v="45000"/>
    <n v="25000"/>
    <n v="45000"/>
    <n v="25000"/>
  </r>
  <r>
    <n v="1038"/>
    <d v="2026-06-17T00:00:00"/>
    <s v="Cliente 9"/>
    <x v="0"/>
    <s v="Hogar"/>
    <s v="Norte"/>
    <n v="7"/>
    <n v="290000"/>
    <n v="185000"/>
    <n v="2030000"/>
    <n v="1295000"/>
  </r>
  <r>
    <n v="1039"/>
    <d v="2026-06-03T00:00:00"/>
    <s v="Cliente 6"/>
    <x v="2"/>
    <s v="Tecnología"/>
    <s v="Oeste"/>
    <n v="4"/>
    <n v="45000"/>
    <n v="25000"/>
    <n v="180000"/>
    <n v="100000"/>
  </r>
  <r>
    <n v="1040"/>
    <d v="2026-05-14T00:00:00"/>
    <s v="Cliente 5"/>
    <x v="2"/>
    <s v="Tecnología"/>
    <s v="Sur"/>
    <n v="1"/>
    <n v="45000"/>
    <n v="25000"/>
    <n v="45000"/>
    <n v="25000"/>
  </r>
  <r>
    <n v="1041"/>
    <d v="2026-01-21T00:00:00"/>
    <s v="Cliente 4"/>
    <x v="0"/>
    <s v="Hogar"/>
    <s v="Sur"/>
    <n v="7"/>
    <n v="290000"/>
    <n v="185000"/>
    <n v="2030000"/>
    <n v="1295000"/>
  </r>
  <r>
    <n v="1042"/>
    <d v="2026-01-21T00:00:00"/>
    <s v="Cliente 13"/>
    <x v="4"/>
    <s v="Tecnología"/>
    <m/>
    <n v="6"/>
    <n v="120000"/>
    <n v="70000"/>
    <n v="720000"/>
    <n v="420000"/>
  </r>
  <r>
    <n v="1043"/>
    <d v="2026-05-13T00:00:00"/>
    <s v="Cliente 13"/>
    <x v="7"/>
    <s v="Hogar"/>
    <s v="Sur"/>
    <n v="6"/>
    <n v="180000"/>
    <n v="110000"/>
    <n v="1080000"/>
    <n v="660000"/>
  </r>
  <r>
    <n v="1044"/>
    <d v="2026-06-16T00:00:00"/>
    <s v="Cliente 8"/>
    <x v="5"/>
    <s v="Tecnología"/>
    <s v="Sur"/>
    <n v="4"/>
    <n v="320000"/>
    <n v="230000"/>
    <n v="1280000"/>
    <n v="920000"/>
  </r>
  <r>
    <n v="1045"/>
    <d v="2026-04-07T00:00:00"/>
    <s v="Cliente 5"/>
    <x v="7"/>
    <s v="Hogar"/>
    <s v="Oeste"/>
    <n v="4"/>
    <n v="180000"/>
    <n v="110000"/>
    <n v="720000"/>
    <n v="440000"/>
  </r>
  <r>
    <n v="1046"/>
    <d v="2026-06-06T00:00:00"/>
    <s v="Cliente 14"/>
    <x v="4"/>
    <s v="Tecnología"/>
    <s v="Sur"/>
    <n v="6"/>
    <n v="120000"/>
    <n v="70000"/>
    <n v="720000"/>
    <n v="420000"/>
  </r>
  <r>
    <n v="1047"/>
    <d v="2026-06-22T00:00:00"/>
    <s v="Cliente 8"/>
    <x v="4"/>
    <s v="Tecnología"/>
    <s v="Norte"/>
    <n v="4"/>
    <n v="120000"/>
    <n v="70000"/>
    <n v="480000"/>
    <n v="280000"/>
  </r>
  <r>
    <n v="1048"/>
    <d v="2026-03-10T00:00:00"/>
    <s v="Cliente 8"/>
    <x v="6"/>
    <s v="Tecnología"/>
    <s v="Sur"/>
    <n v="2"/>
    <n v="85000"/>
    <n v="52000"/>
    <n v="170000"/>
    <n v="104000"/>
  </r>
  <r>
    <n v="1049"/>
    <d v="2026-04-18T00:00:00"/>
    <s v="Cliente 5"/>
    <x v="5"/>
    <s v="Tecnología"/>
    <s v="Sur"/>
    <n v="5"/>
    <n v="320000"/>
    <n v="230000"/>
    <n v="1600000"/>
    <n v="1150000"/>
  </r>
  <r>
    <n v="1050"/>
    <d v="2026-05-10T00:00:00"/>
    <s v="Cliente 15"/>
    <x v="7"/>
    <s v="Hogar"/>
    <s v="Oeste"/>
    <n v="5"/>
    <n v="180000"/>
    <n v="110000"/>
    <n v="900000"/>
    <n v="550000"/>
  </r>
  <r>
    <n v="1051"/>
    <d v="2026-03-04T00:00:00"/>
    <m/>
    <x v="0"/>
    <s v="Hogar"/>
    <s v="Oeste"/>
    <n v="4"/>
    <n v="290000"/>
    <n v="185000"/>
    <n v="1160000"/>
    <n v="740000"/>
  </r>
  <r>
    <n v="1052"/>
    <d v="2026-03-05T00:00:00"/>
    <s v="Cliente 6"/>
    <x v="2"/>
    <s v="Tecnología"/>
    <s v="Oeste"/>
    <n v="4"/>
    <n v="45000"/>
    <n v="25000"/>
    <n v="180000"/>
    <n v="100000"/>
  </r>
  <r>
    <n v="1053"/>
    <d v="2026-01-28T00:00:00"/>
    <s v="Cliente 2"/>
    <x v="5"/>
    <s v="Tecnología"/>
    <s v="Centro"/>
    <n v="7"/>
    <n v="320000"/>
    <n v="230000"/>
    <n v="2240000"/>
    <n v="1610000"/>
  </r>
  <r>
    <n v="1054"/>
    <d v="2026-05-26T00:00:00"/>
    <s v="Cliente 13"/>
    <x v="4"/>
    <s v="Tecnología"/>
    <s v="Centro"/>
    <n v="1"/>
    <n v="120000"/>
    <n v="70000"/>
    <n v="120000"/>
    <n v="70000"/>
  </r>
  <r>
    <n v="1055"/>
    <d v="2026-01-06T00:00:00"/>
    <s v="Cliente 2"/>
    <x v="2"/>
    <s v="Tecnología"/>
    <s v="Norte"/>
    <n v="5"/>
    <n v="45000"/>
    <n v="25000"/>
    <n v="225000"/>
    <n v="125000"/>
  </r>
  <r>
    <n v="1056"/>
    <d v="2026-04-29T00:00:00"/>
    <s v="Cliente 15"/>
    <x v="3"/>
    <s v="Hogar"/>
    <s v="Norte"/>
    <n v="5"/>
    <n v="75000"/>
    <n v="42000"/>
    <n v="375000"/>
    <n v="210000"/>
  </r>
  <r>
    <n v="1057"/>
    <d v="2026-02-02T00:00:00"/>
    <s v="Cliente 6"/>
    <x v="0"/>
    <s v="Hogar"/>
    <s v="Norte"/>
    <n v="2"/>
    <n v="290000"/>
    <n v="185000"/>
    <n v="580000"/>
    <n v="370000"/>
  </r>
  <r>
    <n v="1058"/>
    <d v="2026-01-22T00:00:00"/>
    <s v="Cliente 14"/>
    <x v="6"/>
    <s v="Tecnología"/>
    <s v="Norte"/>
    <n v="6"/>
    <n v="85000"/>
    <n v="52000"/>
    <n v="510000"/>
    <n v="312000"/>
  </r>
  <r>
    <n v="1059"/>
    <d v="2026-03-01T00:00:00"/>
    <s v="Cliente 4"/>
    <x v="1"/>
    <s v="Tecnología"/>
    <s v="Sur"/>
    <n v="6"/>
    <n v="850000"/>
    <n v="650000"/>
    <n v="5100000"/>
    <n v="3900000"/>
  </r>
  <r>
    <n v="1060"/>
    <d v="2026-04-02T00:00:00"/>
    <s v="Cliente 9"/>
    <x v="0"/>
    <s v="Hogar"/>
    <s v="Norte"/>
    <n v="2"/>
    <n v="290000"/>
    <n v="185000"/>
    <n v="580000"/>
    <n v="37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001"/>
    <d v="2026-02-28T00:00:00"/>
    <s v="Cliente 3"/>
    <x v="0"/>
    <x v="0"/>
    <x v="0"/>
    <n v="7"/>
    <n v="290000"/>
    <n v="185000"/>
  </r>
  <r>
    <n v="1002"/>
    <d v="2026-06-30T00:00:00"/>
    <s v="Cliente 3"/>
    <x v="1"/>
    <x v="1"/>
    <x v="0"/>
    <n v="2"/>
    <n v="850000"/>
    <n v="650000"/>
  </r>
  <r>
    <n v="1003"/>
    <d v="2026-05-10T00:00:00"/>
    <s v="Cliente 11"/>
    <x v="2"/>
    <x v="1"/>
    <x v="1"/>
    <n v="7"/>
    <n v="45000"/>
    <n v="25000"/>
  </r>
  <r>
    <n v="1004"/>
    <d v="2026-04-28T00:00:00"/>
    <s v="Cliente 7"/>
    <x v="3"/>
    <x v="0"/>
    <x v="2"/>
    <n v="8"/>
    <n v="75000"/>
    <n v="42000"/>
  </r>
  <r>
    <n v="1005"/>
    <d v="2026-05-27T00:00:00"/>
    <s v="Cliente 2"/>
    <x v="2"/>
    <x v="1"/>
    <x v="2"/>
    <n v="7"/>
    <n v="45000"/>
    <n v="25000"/>
  </r>
  <r>
    <n v="1006"/>
    <d v="2026-03-01T00:00:00"/>
    <s v="Cliente 9"/>
    <x v="1"/>
    <x v="1"/>
    <x v="2"/>
    <n v="5"/>
    <n v="850000"/>
    <n v="650000"/>
  </r>
  <r>
    <n v="1007"/>
    <d v="2026-05-02T00:00:00"/>
    <s v="Cliente 11"/>
    <x v="4"/>
    <x v="1"/>
    <x v="3"/>
    <n v="2"/>
    <n v="120000"/>
    <n v="70000"/>
  </r>
  <r>
    <n v="1008"/>
    <d v="2026-01-25T00:00:00"/>
    <s v="Cliente 10"/>
    <x v="5"/>
    <x v="1"/>
    <x v="2"/>
    <n v="7"/>
    <n v="320000"/>
    <n v="230000"/>
  </r>
  <r>
    <n v="1009"/>
    <d v="2026-01-28T00:00:00"/>
    <s v="Cliente 4"/>
    <x v="1"/>
    <x v="1"/>
    <x v="1"/>
    <n v="6"/>
    <n v="850000"/>
    <n v="650000"/>
  </r>
  <r>
    <n v="1010"/>
    <d v="2026-05-08T00:00:00"/>
    <s v="Cliente 10"/>
    <x v="2"/>
    <x v="1"/>
    <x v="1"/>
    <n v="3"/>
    <n v="45000"/>
    <n v="25000"/>
  </r>
  <r>
    <n v="1011"/>
    <d v="2026-05-19T00:00:00"/>
    <s v="Cliente 12"/>
    <x v="1"/>
    <x v="1"/>
    <x v="0"/>
    <n v="8"/>
    <n v="850000"/>
    <n v="650000"/>
  </r>
  <r>
    <n v="1012"/>
    <d v="2026-02-07T00:00:00"/>
    <s v="Cliente 5"/>
    <x v="3"/>
    <x v="0"/>
    <x v="3"/>
    <n v="8"/>
    <n v="75000"/>
    <n v="42000"/>
  </r>
  <r>
    <n v="1013"/>
    <d v="2026-04-20T00:00:00"/>
    <s v="Cliente 13"/>
    <x v="6"/>
    <x v="1"/>
    <x v="1"/>
    <n v="3"/>
    <n v="85000"/>
    <n v="52000"/>
  </r>
  <r>
    <n v="1014"/>
    <d v="2026-05-17T00:00:00"/>
    <s v="Cliente 11"/>
    <x v="0"/>
    <x v="0"/>
    <x v="2"/>
    <n v="6"/>
    <n v="290000"/>
    <n v="185000"/>
  </r>
  <r>
    <n v="1015"/>
    <d v="2026-05-09T00:00:00"/>
    <s v="Cliente 3"/>
    <x v="2"/>
    <x v="1"/>
    <x v="3"/>
    <n v="5"/>
    <n v="45000"/>
    <n v="25000"/>
  </r>
  <r>
    <n v="1016"/>
    <d v="2026-05-16T00:00:00"/>
    <s v="Cliente 13"/>
    <x v="7"/>
    <x v="0"/>
    <x v="0"/>
    <n v="2"/>
    <n v="180000"/>
    <n v="110000"/>
  </r>
  <r>
    <n v="1017"/>
    <d v="2026-03-30T00:00:00"/>
    <s v="Cliente 5"/>
    <x v="2"/>
    <x v="1"/>
    <x v="4"/>
    <n v="1"/>
    <n v="45000"/>
    <n v="25000"/>
  </r>
  <r>
    <n v="1018"/>
    <d v="2026-02-26T00:00:00"/>
    <s v="Cliente 7"/>
    <x v="7"/>
    <x v="0"/>
    <x v="3"/>
    <n v="1"/>
    <n v="180000"/>
    <n v="110000"/>
  </r>
  <r>
    <n v="1019"/>
    <d v="2026-04-07T00:00:00"/>
    <s v="Cliente 3"/>
    <x v="7"/>
    <x v="0"/>
    <x v="2"/>
    <n v="7"/>
    <n v="180000"/>
    <n v="110000"/>
  </r>
  <r>
    <n v="1020"/>
    <d v="2026-01-30T00:00:00"/>
    <s v="Cliente 4"/>
    <x v="6"/>
    <x v="1"/>
    <x v="0"/>
    <n v="1"/>
    <n v="85000"/>
    <n v="52000"/>
  </r>
  <r>
    <n v="1021"/>
    <d v="2026-03-18T00:00:00"/>
    <s v="Cliente 13"/>
    <x v="5"/>
    <x v="1"/>
    <x v="2"/>
    <n v="1"/>
    <n v="320000"/>
    <n v="230000"/>
  </r>
  <r>
    <n v="1022"/>
    <d v="2026-03-29T00:00:00"/>
    <s v="Cliente 15"/>
    <x v="6"/>
    <x v="1"/>
    <x v="0"/>
    <n v="7"/>
    <n v="85000"/>
    <n v="52000"/>
  </r>
  <r>
    <n v="1023"/>
    <d v="2026-02-05T00:00:00"/>
    <m/>
    <x v="4"/>
    <x v="1"/>
    <x v="2"/>
    <n v="8"/>
    <n v="120000"/>
    <n v="70000"/>
  </r>
  <r>
    <n v="1024"/>
    <d v="2026-01-21T00:00:00"/>
    <s v="Cliente 12"/>
    <x v="5"/>
    <x v="1"/>
    <x v="1"/>
    <n v="5"/>
    <n v="320000"/>
    <n v="230000"/>
  </r>
  <r>
    <n v="1025"/>
    <d v="2026-01-09T00:00:00"/>
    <s v="Cliente 13"/>
    <x v="5"/>
    <x v="1"/>
    <x v="3"/>
    <n v="2"/>
    <n v="320000"/>
    <n v="230000"/>
  </r>
  <r>
    <n v="1026"/>
    <d v="2026-02-09T00:00:00"/>
    <s v="Cliente 10"/>
    <x v="3"/>
    <x v="0"/>
    <x v="1"/>
    <n v="3"/>
    <n v="75000"/>
    <n v="42000"/>
  </r>
  <r>
    <n v="1027"/>
    <d v="2026-02-18T00:00:00"/>
    <s v="Cliente 6"/>
    <x v="1"/>
    <x v="1"/>
    <x v="2"/>
    <n v="3"/>
    <n v="850000"/>
    <n v="650000"/>
  </r>
  <r>
    <n v="1028"/>
    <d v="2026-06-18T00:00:00"/>
    <s v="Cliente 6"/>
    <x v="5"/>
    <x v="1"/>
    <x v="3"/>
    <n v="5"/>
    <n v="320000"/>
    <n v="230000"/>
  </r>
  <r>
    <n v="1029"/>
    <d v="2026-04-04T00:00:00"/>
    <s v="Cliente 4"/>
    <x v="1"/>
    <x v="1"/>
    <x v="1"/>
    <n v="8"/>
    <n v="850000"/>
    <n v="650000"/>
  </r>
  <r>
    <n v="1030"/>
    <d v="2026-06-08T00:00:00"/>
    <s v="Cliente 3"/>
    <x v="1"/>
    <x v="1"/>
    <x v="3"/>
    <n v="3"/>
    <n v="850000"/>
    <n v="650000"/>
  </r>
  <r>
    <n v="1031"/>
    <d v="2026-04-21T00:00:00"/>
    <s v="Cliente 2"/>
    <x v="3"/>
    <x v="0"/>
    <x v="0"/>
    <n v="2"/>
    <n v="75000"/>
    <n v="42000"/>
  </r>
  <r>
    <n v="1032"/>
    <d v="2026-06-04T00:00:00"/>
    <s v="Cliente 13"/>
    <x v="2"/>
    <x v="1"/>
    <x v="2"/>
    <n v="8"/>
    <n v="45000"/>
    <n v="25000"/>
  </r>
  <r>
    <n v="1033"/>
    <d v="2026-02-09T00:00:00"/>
    <s v="Cliente 2"/>
    <x v="4"/>
    <x v="1"/>
    <x v="2"/>
    <n v="2"/>
    <n v="120000"/>
    <n v="70000"/>
  </r>
  <r>
    <n v="1034"/>
    <d v="2026-06-15T00:00:00"/>
    <s v="Cliente 9"/>
    <x v="6"/>
    <x v="1"/>
    <x v="1"/>
    <n v="8"/>
    <n v="85000"/>
    <n v="52000"/>
  </r>
  <r>
    <n v="1035"/>
    <d v="2026-05-01T00:00:00"/>
    <s v="Cliente 8"/>
    <x v="4"/>
    <x v="1"/>
    <x v="0"/>
    <n v="6"/>
    <n v="120000"/>
    <n v="70000"/>
  </r>
  <r>
    <n v="1036"/>
    <d v="2026-01-14T00:00:00"/>
    <s v="Cliente 8"/>
    <x v="2"/>
    <x v="1"/>
    <x v="1"/>
    <n v="1"/>
    <n v="45000"/>
    <n v="25000"/>
  </r>
  <r>
    <n v="1037"/>
    <d v="2026-01-28T00:00:00"/>
    <s v="Cliente 12"/>
    <x v="2"/>
    <x v="1"/>
    <x v="1"/>
    <n v="1"/>
    <n v="45000"/>
    <n v="25000"/>
  </r>
  <r>
    <n v="1038"/>
    <d v="2026-06-17T00:00:00"/>
    <s v="Cliente 9"/>
    <x v="0"/>
    <x v="0"/>
    <x v="1"/>
    <n v="7"/>
    <n v="290000"/>
    <n v="185000"/>
  </r>
  <r>
    <n v="1039"/>
    <d v="2026-06-03T00:00:00"/>
    <s v="Cliente 6"/>
    <x v="2"/>
    <x v="1"/>
    <x v="2"/>
    <n v="4"/>
    <n v="45000"/>
    <n v="25000"/>
  </r>
  <r>
    <n v="1040"/>
    <d v="2026-05-14T00:00:00"/>
    <s v="Cliente 5"/>
    <x v="2"/>
    <x v="1"/>
    <x v="3"/>
    <n v="1"/>
    <n v="45000"/>
    <n v="25000"/>
  </r>
  <r>
    <n v="1041"/>
    <d v="2026-01-21T00:00:00"/>
    <s v="Cliente 4"/>
    <x v="0"/>
    <x v="0"/>
    <x v="3"/>
    <n v="7"/>
    <n v="290000"/>
    <n v="185000"/>
  </r>
  <r>
    <n v="1042"/>
    <d v="2026-01-21T00:00:00"/>
    <s v="Cliente 13"/>
    <x v="4"/>
    <x v="1"/>
    <x v="4"/>
    <n v="6"/>
    <n v="120000"/>
    <n v="70000"/>
  </r>
  <r>
    <n v="1043"/>
    <d v="2026-05-13T00:00:00"/>
    <s v="Cliente 13"/>
    <x v="7"/>
    <x v="0"/>
    <x v="3"/>
    <n v="6"/>
    <n v="180000"/>
    <n v="110000"/>
  </r>
  <r>
    <n v="1044"/>
    <d v="2026-06-16T00:00:00"/>
    <s v="Cliente 8"/>
    <x v="5"/>
    <x v="1"/>
    <x v="3"/>
    <n v="4"/>
    <n v="320000"/>
    <n v="230000"/>
  </r>
  <r>
    <n v="1045"/>
    <d v="2026-04-07T00:00:00"/>
    <s v="Cliente 5"/>
    <x v="7"/>
    <x v="0"/>
    <x v="2"/>
    <n v="4"/>
    <n v="180000"/>
    <n v="110000"/>
  </r>
  <r>
    <n v="1046"/>
    <d v="2026-06-06T00:00:00"/>
    <s v="Cliente 14"/>
    <x v="4"/>
    <x v="1"/>
    <x v="3"/>
    <n v="6"/>
    <n v="120000"/>
    <n v="70000"/>
  </r>
  <r>
    <n v="1047"/>
    <d v="2026-06-22T00:00:00"/>
    <s v="Cliente 8"/>
    <x v="4"/>
    <x v="1"/>
    <x v="1"/>
    <n v="4"/>
    <n v="120000"/>
    <n v="70000"/>
  </r>
  <r>
    <n v="1048"/>
    <d v="2026-03-10T00:00:00"/>
    <s v="Cliente 8"/>
    <x v="6"/>
    <x v="1"/>
    <x v="3"/>
    <n v="2"/>
    <n v="85000"/>
    <n v="52000"/>
  </r>
  <r>
    <n v="1049"/>
    <d v="2026-04-18T00:00:00"/>
    <s v="Cliente 5"/>
    <x v="5"/>
    <x v="1"/>
    <x v="3"/>
    <n v="5"/>
    <n v="320000"/>
    <n v="230000"/>
  </r>
  <r>
    <n v="1050"/>
    <d v="2026-05-10T00:00:00"/>
    <s v="Cliente 15"/>
    <x v="7"/>
    <x v="0"/>
    <x v="2"/>
    <n v="5"/>
    <n v="180000"/>
    <n v="110000"/>
  </r>
  <r>
    <n v="1051"/>
    <d v="2026-03-04T00:00:00"/>
    <m/>
    <x v="0"/>
    <x v="0"/>
    <x v="2"/>
    <n v="4"/>
    <n v="290000"/>
    <n v="185000"/>
  </r>
  <r>
    <n v="1052"/>
    <d v="2026-03-05T00:00:00"/>
    <s v="Cliente 6"/>
    <x v="2"/>
    <x v="1"/>
    <x v="2"/>
    <n v="4"/>
    <n v="45000"/>
    <n v="25000"/>
  </r>
  <r>
    <n v="1053"/>
    <d v="2026-01-28T00:00:00"/>
    <s v="Cliente 2"/>
    <x v="5"/>
    <x v="1"/>
    <x v="0"/>
    <n v="7"/>
    <n v="320000"/>
    <n v="230000"/>
  </r>
  <r>
    <n v="1054"/>
    <d v="2026-05-26T00:00:00"/>
    <s v="Cliente 13"/>
    <x v="4"/>
    <x v="1"/>
    <x v="0"/>
    <n v="1"/>
    <n v="120000"/>
    <n v="70000"/>
  </r>
  <r>
    <n v="1055"/>
    <d v="2026-01-06T00:00:00"/>
    <s v="Cliente 2"/>
    <x v="2"/>
    <x v="1"/>
    <x v="1"/>
    <n v="5"/>
    <n v="45000"/>
    <n v="25000"/>
  </r>
  <r>
    <n v="1056"/>
    <d v="2026-04-29T00:00:00"/>
    <s v="Cliente 15"/>
    <x v="3"/>
    <x v="0"/>
    <x v="1"/>
    <n v="5"/>
    <n v="75000"/>
    <n v="42000"/>
  </r>
  <r>
    <n v="1057"/>
    <d v="2026-02-02T00:00:00"/>
    <s v="Cliente 6"/>
    <x v="0"/>
    <x v="0"/>
    <x v="1"/>
    <n v="2"/>
    <n v="290000"/>
    <n v="185000"/>
  </r>
  <r>
    <n v="1058"/>
    <d v="2026-01-22T00:00:00"/>
    <s v="Cliente 14"/>
    <x v="6"/>
    <x v="1"/>
    <x v="1"/>
    <n v="6"/>
    <n v="85000"/>
    <n v="52000"/>
  </r>
  <r>
    <n v="1059"/>
    <d v="2026-03-01T00:00:00"/>
    <s v="Cliente 4"/>
    <x v="1"/>
    <x v="1"/>
    <x v="3"/>
    <n v="6"/>
    <n v="850000"/>
    <n v="650000"/>
  </r>
  <r>
    <n v="1060"/>
    <d v="2026-04-02T00:00:00"/>
    <s v="Cliente 9"/>
    <x v="0"/>
    <x v="0"/>
    <x v="1"/>
    <n v="2"/>
    <n v="290000"/>
    <n v="18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79DC47-8B14-4F46-84E1-AD132F2886A4}" name="TablaDinámica2" cacheId="7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10:B13" firstHeaderRow="1" firstDataRow="1" firstDataCol="1"/>
  <pivotFields count="9">
    <pivotField showAll="0"/>
    <pivotField numFmtId="14" showAll="0"/>
    <pivotField showAll="0"/>
    <pivotField showAll="0">
      <items count="9">
        <item x="4"/>
        <item x="0"/>
        <item x="3"/>
        <item x="5"/>
        <item x="2"/>
        <item x="1"/>
        <item x="7"/>
        <item x="6"/>
        <item t="default"/>
      </items>
    </pivotField>
    <pivotField axis="axisRow" showAll="0">
      <items count="3">
        <item x="0"/>
        <item x="1"/>
        <item t="default"/>
      </items>
    </pivotField>
    <pivotField showAll="0">
      <items count="6">
        <item h="1" x="0"/>
        <item h="1" x="1"/>
        <item x="2"/>
        <item h="1" x="3"/>
        <item h="1" x="4"/>
        <item t="default"/>
      </items>
    </pivotField>
    <pivotField dataField="1" showAll="0"/>
    <pivotField showAll="0"/>
    <pivotField showAll="0"/>
  </pivotFields>
  <rowFields count="1">
    <field x="4"/>
  </rowFields>
  <rowItems count="3">
    <i>
      <x/>
    </i>
    <i>
      <x v="1"/>
    </i>
    <i t="grand">
      <x/>
    </i>
  </rowItems>
  <colItems count="1">
    <i/>
  </colItems>
  <dataFields count="1">
    <dataField name="Suma de Cantidad" fld="6" baseField="0" baseItem="0"/>
  </dataFields>
  <formats count="11">
    <format dxfId="181">
      <pivotArea field="4" type="button" dataOnly="0" labelOnly="1" outline="0" axis="axisRow" fieldPosition="0"/>
    </format>
    <format dxfId="180">
      <pivotArea dataOnly="0" labelOnly="1" outline="0" axis="axisValues" fieldPosition="0"/>
    </format>
    <format dxfId="179">
      <pivotArea field="4" type="button" dataOnly="0" labelOnly="1" outline="0" axis="axisRow" fieldPosition="0"/>
    </format>
    <format dxfId="178">
      <pivotArea dataOnly="0" labelOnly="1" outline="0" axis="axisValues" fieldPosition="0"/>
    </format>
    <format dxfId="177">
      <pivotArea grandRow="1" outline="0" collapsedLevelsAreSubtotals="1" fieldPosition="0"/>
    </format>
    <format dxfId="176">
      <pivotArea dataOnly="0" labelOnly="1" grandRow="1" outline="0" fieldPosition="0"/>
    </format>
    <format dxfId="175">
      <pivotArea grandRow="1" outline="0" collapsedLevelsAreSubtotals="1" fieldPosition="0"/>
    </format>
    <format dxfId="174">
      <pivotArea dataOnly="0" labelOnly="1" grandRow="1" outline="0" fieldPosition="0"/>
    </format>
    <format dxfId="173">
      <pivotArea grandRow="1" outline="0" collapsedLevelsAreSubtotals="1" fieldPosition="0"/>
    </format>
    <format dxfId="172">
      <pivotArea dataOnly="0" labelOnly="1" grandRow="1" outline="0" fieldPosition="0"/>
    </format>
    <format dxfId="171">
      <pivotArea dataOnly="0" fieldPosition="0">
        <references count="1">
          <reference field="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A7810-51AE-493D-A9B0-6A52E1081E18}" name="TablaDinámica1" cacheId="7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3:B5" firstHeaderRow="1" firstDataRow="1" firstDataCol="1"/>
  <pivotFields count="9">
    <pivotField showAll="0"/>
    <pivotField numFmtId="14" showAll="0"/>
    <pivotField showAll="0"/>
    <pivotField showAll="0">
      <items count="9">
        <item x="4"/>
        <item x="0"/>
        <item x="3"/>
        <item x="5"/>
        <item x="2"/>
        <item x="1"/>
        <item x="7"/>
        <item x="6"/>
        <item t="default"/>
      </items>
    </pivotField>
    <pivotField showAll="0">
      <items count="3">
        <item x="0"/>
        <item x="1"/>
        <item t="default"/>
      </items>
    </pivotField>
    <pivotField axis="axisRow" showAll="0">
      <items count="6">
        <item h="1" x="0"/>
        <item h="1" x="1"/>
        <item x="2"/>
        <item h="1" x="3"/>
        <item h="1" x="4"/>
        <item t="default"/>
      </items>
    </pivotField>
    <pivotField dataField="1" showAll="0"/>
    <pivotField showAll="0"/>
    <pivotField showAll="0"/>
  </pivotFields>
  <rowFields count="1">
    <field x="5"/>
  </rowFields>
  <rowItems count="2">
    <i>
      <x v="2"/>
    </i>
    <i t="grand">
      <x/>
    </i>
  </rowItems>
  <colItems count="1">
    <i/>
  </colItems>
  <dataFields count="1">
    <dataField name="Suma de Cantidad"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BC66B0-F013-498E-B0AF-171EC16F57B4}" name="TablaDinámica4" cacheId="6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70:B79" firstHeaderRow="1" firstDataRow="1" firstDataCol="1"/>
  <pivotFields count="11">
    <pivotField showAll="0"/>
    <pivotField numFmtId="14" showAll="0"/>
    <pivotField showAll="0"/>
    <pivotField axis="axisRow" showAll="0">
      <items count="9">
        <item x="4"/>
        <item x="0"/>
        <item x="3"/>
        <item x="5"/>
        <item x="2"/>
        <item x="1"/>
        <item x="7"/>
        <item x="6"/>
        <item t="default"/>
      </items>
    </pivotField>
    <pivotField showAll="0"/>
    <pivotField showAll="0"/>
    <pivotField dataField="1"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a de Cantidad" fld="6" baseField="0" baseItem="0"/>
  </dataFields>
  <formats count="18">
    <format dxfId="162">
      <pivotArea type="all" dataOnly="0" outline="0" fieldPosition="0"/>
    </format>
    <format dxfId="161">
      <pivotArea outline="0" collapsedLevelsAreSubtotals="1" fieldPosition="0"/>
    </format>
    <format dxfId="160">
      <pivotArea field="3" type="button" dataOnly="0" labelOnly="1" outline="0" axis="axisRow" fieldPosition="0"/>
    </format>
    <format dxfId="159">
      <pivotArea dataOnly="0" labelOnly="1" fieldPosition="0">
        <references count="1">
          <reference field="3" count="0"/>
        </references>
      </pivotArea>
    </format>
    <format dxfId="158">
      <pivotArea dataOnly="0" labelOnly="1" grandRow="1" outline="0" fieldPosition="0"/>
    </format>
    <format dxfId="157">
      <pivotArea dataOnly="0" labelOnly="1" outline="0" axis="axisValues" fieldPosition="0"/>
    </format>
    <format dxfId="144">
      <pivotArea type="all" dataOnly="0" outline="0" fieldPosition="0"/>
    </format>
    <format dxfId="143">
      <pivotArea outline="0" collapsedLevelsAreSubtotals="1" fieldPosition="0"/>
    </format>
    <format dxfId="142">
      <pivotArea field="3" type="button" dataOnly="0" labelOnly="1" outline="0" axis="axisRow" fieldPosition="0"/>
    </format>
    <format dxfId="141">
      <pivotArea dataOnly="0" labelOnly="1" fieldPosition="0">
        <references count="1">
          <reference field="3" count="0"/>
        </references>
      </pivotArea>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3" type="button" dataOnly="0" labelOnly="1" outline="0" axis="axisRow" fieldPosition="0"/>
    </format>
    <format dxfId="135">
      <pivotArea dataOnly="0" labelOnly="1" fieldPosition="0">
        <references count="1">
          <reference field="3" count="0"/>
        </references>
      </pivotArea>
    </format>
    <format dxfId="134">
      <pivotArea dataOnly="0" labelOnly="1" grandRow="1" outline="0" fieldPosition="0"/>
    </format>
    <format dxfId="13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65C816-66AA-4A28-9DAF-21AF0EC3D97A}" name="TablaDinámica2" cacheId="6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31:B37" firstHeaderRow="1" firstDataRow="1" firstDataCol="1"/>
  <pivotFields count="11">
    <pivotField showAll="0"/>
    <pivotField numFmtId="22" showAll="0"/>
    <pivotField showAll="0"/>
    <pivotField showAll="0"/>
    <pivotField showAll="0">
      <items count="3">
        <item x="0"/>
        <item x="1"/>
        <item t="default"/>
      </items>
    </pivotField>
    <pivotField axis="axisRow" showAll="0">
      <items count="6">
        <item x="0"/>
        <item x="1"/>
        <item x="2"/>
        <item x="3"/>
        <item x="4"/>
        <item t="default"/>
      </items>
    </pivotField>
    <pivotField dataField="1" showAll="0"/>
    <pivotField numFmtId="44" showAll="0"/>
    <pivotField numFmtId="44" showAll="0"/>
    <pivotField showAll="0"/>
    <pivotField showAll="0"/>
  </pivotFields>
  <rowFields count="1">
    <field x="5"/>
  </rowFields>
  <rowItems count="6">
    <i>
      <x/>
    </i>
    <i>
      <x v="1"/>
    </i>
    <i>
      <x v="2"/>
    </i>
    <i>
      <x v="3"/>
    </i>
    <i>
      <x v="4"/>
    </i>
    <i t="grand">
      <x/>
    </i>
  </rowItems>
  <colItems count="1">
    <i/>
  </colItems>
  <dataFields count="1">
    <dataField name="Suma de Cantidad" fld="6" baseField="0" baseItem="0"/>
  </dataFields>
  <formats count="6">
    <format dxfId="156">
      <pivotArea type="all" dataOnly="0" outline="0" fieldPosition="0"/>
    </format>
    <format dxfId="155">
      <pivotArea outline="0" collapsedLevelsAreSubtotals="1" fieldPosition="0"/>
    </format>
    <format dxfId="154">
      <pivotArea field="5" type="button" dataOnly="0" labelOnly="1" outline="0" axis="axisRow" fieldPosition="0"/>
    </format>
    <format dxfId="153">
      <pivotArea dataOnly="0" labelOnly="1" fieldPosition="0">
        <references count="1">
          <reference field="5" count="0"/>
        </references>
      </pivotArea>
    </format>
    <format dxfId="152">
      <pivotArea dataOnly="0" labelOnly="1" grandRow="1" outline="0" fieldPosition="0"/>
    </format>
    <format dxfId="15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7354CB-C0FE-41F3-916E-7E90E0B79A57}" name="TablaDinámica1" cacheId="6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13:B16" firstHeaderRow="1" firstDataRow="1" firstDataCol="1"/>
  <pivotFields count="11">
    <pivotField showAll="0"/>
    <pivotField numFmtId="22" showAll="0"/>
    <pivotField showAll="0"/>
    <pivotField showAll="0"/>
    <pivotField axis="axisRow" showAll="0">
      <items count="3">
        <item x="0"/>
        <item x="1"/>
        <item t="default"/>
      </items>
    </pivotField>
    <pivotField showAll="0">
      <items count="6">
        <item x="0"/>
        <item x="1"/>
        <item x="2"/>
        <item x="3"/>
        <item x="4"/>
        <item t="default"/>
      </items>
    </pivotField>
    <pivotField dataField="1" showAll="0"/>
    <pivotField numFmtId="44" showAll="0"/>
    <pivotField numFmtId="44" showAll="0"/>
    <pivotField showAll="0"/>
    <pivotField showAll="0"/>
  </pivotFields>
  <rowFields count="1">
    <field x="4"/>
  </rowFields>
  <rowItems count="3">
    <i>
      <x/>
    </i>
    <i>
      <x v="1"/>
    </i>
    <i t="grand">
      <x/>
    </i>
  </rowItems>
  <colItems count="1">
    <i/>
  </colItems>
  <dataFields count="1">
    <dataField name="Suma de Cantidad" fld="6" baseField="0" baseItem="0"/>
  </dataFields>
  <formats count="6">
    <format dxfId="150">
      <pivotArea type="all" dataOnly="0" outline="0" fieldPosition="0"/>
    </format>
    <format dxfId="149">
      <pivotArea outline="0" collapsedLevelsAreSubtotals="1" fieldPosition="0"/>
    </format>
    <format dxfId="148">
      <pivotArea field="4" type="button" dataOnly="0" labelOnly="1" outline="0" axis="axisRow" fieldPosition="0"/>
    </format>
    <format dxfId="147">
      <pivotArea dataOnly="0" labelOnly="1" fieldPosition="0">
        <references count="1">
          <reference field="4" count="0"/>
        </references>
      </pivotArea>
    </format>
    <format dxfId="146">
      <pivotArea dataOnly="0" labelOnly="1" grandRow="1" outline="0" fieldPosition="0"/>
    </format>
    <format dxfId="14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2CE5C7C7-A5F0-44B8-AEE9-AF6C2DDE7D8F}" autoFormatId="16" applyNumberFormats="0" applyBorderFormats="0" applyFontFormats="0" applyPatternFormats="0" applyAlignmentFormats="0" applyWidthHeightFormats="0">
  <queryTableRefresh nextId="12">
    <queryTableFields count="11">
      <queryTableField id="1" name="IDVenta" tableColumnId="1"/>
      <queryTableField id="2" name="Fecha" tableColumnId="2"/>
      <queryTableField id="3" name="Cliente" tableColumnId="3"/>
      <queryTableField id="4" name="Producto" tableColumnId="4"/>
      <queryTableField id="5" name="Categoria" tableColumnId="5"/>
      <queryTableField id="6" name="Region" tableColumnId="6"/>
      <queryTableField id="7" name="Cantidad" tableColumnId="7"/>
      <queryTableField id="8" name="Precio" tableColumnId="8"/>
      <queryTableField id="9" name="Costo" tableColumnId="9"/>
      <queryTableField id="10" name="Venta Total" tableColumnId="10"/>
      <queryTableField id="11" name="Costo Total"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 xr10:uid="{E59BD0FF-5895-4946-BEA0-801B600274C3}" sourceName="Producto">
  <pivotTables>
    <pivotTable tabId="3" name="TablaDinámica2"/>
    <pivotTable tabId="5" name="TablaDinámica1"/>
  </pivotTables>
  <data>
    <tabular pivotCacheId="1204203084">
      <items count="8">
        <i x="4" s="1"/>
        <i x="0" s="1"/>
        <i x="3" s="1"/>
        <i x="5" s="1"/>
        <i x="2" s="1"/>
        <i x="1" s="1"/>
        <i x="7"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 xr10:uid="{98BCC8C6-36DC-449E-B63D-C4AAE0110BE3}" sourceName="Categoria">
  <pivotTables>
    <pivotTable tabId="3" name="TablaDinámica2"/>
    <pivotTable tabId="5" name="TablaDinámica1"/>
  </pivotTables>
  <data>
    <tabular pivotCacheId="120420308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 xr10:uid="{3655192E-9C7D-4DE2-8888-EE0E95D90935}" sourceName="Region">
  <pivotTables>
    <pivotTable tabId="3" name="TablaDinámica2"/>
    <pivotTable tabId="5" name="TablaDinámica1"/>
  </pivotTables>
  <data>
    <tabular pivotCacheId="1204203084">
      <items count="5">
        <i x="0"/>
        <i x="1"/>
        <i x="2" s="1"/>
        <i x="3"/>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1" xr10:uid="{0E4E58E7-4E83-4933-A40E-7E2DA161C7C3}" sourceName="Categoria">
  <pivotTables>
    <pivotTable tabId="10" name="TablaDinámica1"/>
    <pivotTable tabId="10" name="TablaDinámica2"/>
  </pivotTables>
  <data>
    <tabular pivotCacheId="53573635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1" xr10:uid="{EA9DD6F9-CE1B-4F38-8A9D-BB5677C73C32}" sourceName="Region">
  <pivotTables>
    <pivotTable tabId="10" name="TablaDinámica2"/>
    <pivotTable tabId="10" name="TablaDinámica1"/>
  </pivotTables>
  <data>
    <tabular pivotCacheId="535736351">
      <items count="5">
        <i x="0" s="1"/>
        <i x="1"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1" xr10:uid="{3CCF2E3C-1D83-4D19-90BB-490F60E5B56A}" sourceName="Producto">
  <pivotTables>
    <pivotTable tabId="10" name="TablaDinámica4"/>
  </pivotTables>
  <data>
    <tabular pivotCacheId="135810413">
      <items count="8">
        <i x="4" s="1"/>
        <i x="0" s="1"/>
        <i x="3" s="1"/>
        <i x="5" s="1"/>
        <i x="2" s="1"/>
        <i x="1"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o" xr10:uid="{17F436D2-B647-41B0-9A90-02C6CA472D47}" cache="SegmentaciónDeDatos_Producto" caption="Producto" style="SlicerStyleLight2" rowHeight="247650"/>
  <slicer name="Categoria" xr10:uid="{2F70F493-A971-42BD-9787-E03BBF564689}" cache="SegmentaciónDeDatos_Categoria" caption="Categoria" style="SlicerStyleLight2" rowHeight="247650"/>
  <slicer name="Region" xr10:uid="{325468D1-0D94-42E8-BA98-8A820DA3359A}" cache="SegmentaciónDeDatos_Region" caption="Region"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1" xr10:uid="{17512FC3-C55F-450E-B3A0-453AE09A5A92}" cache="SegmentaciónDeDatos_Categoria1" caption="Categoria" rowHeight="247650"/>
  <slicer name="Region 1" xr10:uid="{9675023B-DCDF-4A47-9B44-5D5A1B909B7D}" cache="SegmentaciónDeDatos_Region1" caption="Region" rowHeight="247650"/>
  <slicer name="Producto 1" xr10:uid="{AB00A2CD-7905-4C58-BD06-DDF9AA4EA1BD}" cache="SegmentaciónDeDatos_Producto1" caption="Producto" startItem="1" rowHeight="2476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DA3818-4794-4AAA-A2FD-FF9CBEE2E454}" name="Consulta1" displayName="Consulta1" ref="A1:A2" totalsRowShown="0">
  <autoFilter ref="A1:A2" xr:uid="{C9DA3818-4794-4AAA-A2FD-FF9CBEE2E454}"/>
  <tableColumns count="1">
    <tableColumn id="1" xr3:uid="{0206A1B0-28C9-4056-BCDD-A0B1625580FF}" name="Consulta1" dataDxfId="182"/>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C32DDF-EA51-4E01-ACDC-58138E266910}" name="DimRegion" displayName="DimRegion" ref="H1:H5" totalsRowShown="0" headerRowDxfId="170" dataDxfId="169">
  <autoFilter ref="H1:H5" xr:uid="{58C32DDF-EA51-4E01-ACDC-58138E266910}"/>
  <tableColumns count="1">
    <tableColumn id="1" xr3:uid="{6D040A2A-5020-454A-8BDE-D78C712849C9}" name="Region" dataDxfId="168"/>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364CD7-EC2C-4D58-AA18-6AE59B33C078}" name="DimCategoria" displayName="DimCategoria" ref="A1:A3" totalsRowShown="0">
  <autoFilter ref="A1:A3" xr:uid="{A0364CD7-EC2C-4D58-AA18-6AE59B33C078}"/>
  <tableColumns count="1">
    <tableColumn id="1" xr3:uid="{0F35E61D-1D66-4F73-813F-2EAD3E897145}" name="Columna1"/>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08CBEA-6A33-48CC-BD7D-BB1B4CC2DFDE}" name="Tabla2_1" displayName="Tabla2_1" ref="A1:K61" tableType="queryTable" totalsRowShown="0">
  <autoFilter ref="A1:K61" xr:uid="{AF08CBEA-6A33-48CC-BD7D-BB1B4CC2DFDE}"/>
  <tableColumns count="11">
    <tableColumn id="1" xr3:uid="{423B895B-042A-41DF-946E-23CE55514320}" uniqueName="1" name="IDVenta" queryTableFieldId="1"/>
    <tableColumn id="2" xr3:uid="{F02D1039-E019-4D8E-988C-5E585DCE6B01}" uniqueName="2" name="Fecha" queryTableFieldId="2" dataDxfId="22"/>
    <tableColumn id="3" xr3:uid="{90AB677F-26EE-46A1-8984-8CF24A4DFA09}" uniqueName="3" name="Cliente" queryTableFieldId="3" dataDxfId="167"/>
    <tableColumn id="4" xr3:uid="{718E6F0E-CDBE-49E0-85F3-3981B027D950}" uniqueName="4" name="Producto" queryTableFieldId="4" dataDxfId="166"/>
    <tableColumn id="5" xr3:uid="{B4CCE7FC-B06C-4273-A84D-9CA33329F6EC}" uniqueName="5" name="Categoria" queryTableFieldId="5" dataDxfId="165"/>
    <tableColumn id="6" xr3:uid="{0C5BCD37-9D6F-491B-BE04-0894A3342B20}" uniqueName="6" name="Region" queryTableFieldId="6" dataDxfId="164"/>
    <tableColumn id="7" xr3:uid="{8EBC4E09-B87E-4AFF-B6C6-CA81CC6999B6}" uniqueName="7" name="Cantidad" queryTableFieldId="7"/>
    <tableColumn id="8" xr3:uid="{6EABD8A4-9830-49AC-8C20-FDA01DDF637F}" uniqueName="8" name="Precio" queryTableFieldId="8" dataDxfId="21" dataCellStyle="Moneda"/>
    <tableColumn id="9" xr3:uid="{233E73FB-7A01-41C4-AF52-B89291834E35}" uniqueName="9" name="Costo" queryTableFieldId="9" dataDxfId="20" dataCellStyle="Moneda"/>
    <tableColumn id="10" xr3:uid="{1D959ED4-4C9F-4DF2-B2E8-7C074741654B}" uniqueName="10" name="Venta Total" queryTableFieldId="10" dataCellStyle="Moneda"/>
    <tableColumn id="11" xr3:uid="{461C4662-5726-44B4-A230-31EEAA57E402}" uniqueName="11" name="Costo Total" queryTableFieldId="11" dataCellStyle="Moneda"/>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881588-54A9-4A01-AF44-05FDEC8B6380}" name="Tabla2" displayName="Tabla2" ref="A1:K61" totalsRowShown="0">
  <autoFilter ref="A1:K61" xr:uid="{07881588-54A9-4A01-AF44-05FDEC8B6380}"/>
  <tableColumns count="11">
    <tableColumn id="1" xr3:uid="{4C0BD362-EF6E-45E0-89EB-5015904CC9AA}" name="IDVenta"/>
    <tableColumn id="2" xr3:uid="{813206B7-B46A-473A-BCA5-FA014BA8C0DF}" name="Fecha" dataDxfId="163"/>
    <tableColumn id="3" xr3:uid="{16495842-E728-4C63-B4D2-356205FE0D5E}" name="Cliente"/>
    <tableColumn id="4" xr3:uid="{3F414177-8772-4266-A8E4-0304C9B54075}" name="Producto"/>
    <tableColumn id="5" xr3:uid="{A71A50BA-5A0C-4E1C-A62E-68FFDF6F6E9B}" name="Categoria"/>
    <tableColumn id="6" xr3:uid="{661060FB-7A86-4406-A2D2-BF2821D1A37D}" name="Region"/>
    <tableColumn id="7" xr3:uid="{FA377DF5-A8B0-4A31-B901-EDF536BAC060}" name="Cantidad"/>
    <tableColumn id="8" xr3:uid="{B8976FC6-788C-47C7-B210-E720F9CF6C97}" name="Precio"/>
    <tableColumn id="9" xr3:uid="{A321B310-A0A7-4DB0-BADA-1850A336BA8C}" name="Costo"/>
    <tableColumn id="10" xr3:uid="{35604806-BF9A-485B-BFAD-AB6E6FD8E41E}" name="Venta Total" dataDxfId="131">
      <calculatedColumnFormula>G2*H2</calculatedColumnFormula>
    </tableColumn>
    <tableColumn id="11" xr3:uid="{A6DA811B-E496-43BB-BE77-425A57A39730}" name="Costo Total" dataDxfId="130">
      <calculatedColumnFormula>G2*I2</calculatedColumnFormula>
    </tableColumn>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D42A2C-18A7-4AEE-8925-CF19F0D3FE73}" name="Tabla6" displayName="Tabla6" ref="A1:B4" totalsRowShown="0">
  <autoFilter ref="A1:B4" xr:uid="{50D42A2C-18A7-4AEE-8925-CF19F0D3FE73}"/>
  <tableColumns count="2">
    <tableColumn id="1" xr3:uid="{B0DB4803-D8CE-4555-9036-2EEF6076ECB5}" name="Concepto"/>
    <tableColumn id="2" xr3:uid="{BDE89606-2581-4888-B979-4D9296F8453F}" name="Importe" dataDxfId="64" dataCellStyle="Moneda"/>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32.emf"/><Relationship Id="rId2" Type="http://schemas.openxmlformats.org/officeDocument/2006/relationships/drawing" Target="../drawings/drawing5.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3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6CBE-51D2-4BE1-B668-533EA50A0869}">
  <dimension ref="A1"/>
  <sheetViews>
    <sheetView workbookViewId="0">
      <selection sqref="A1:I43"/>
    </sheetView>
  </sheetViews>
  <sheetFormatPr baseColWidth="10" defaultRowHeight="14.4" x14ac:dyDescent="0.3"/>
  <cols>
    <col min="1" max="1" width="9.77734375" bestFit="1" customWidth="1"/>
    <col min="2" max="2" width="9.33203125" bestFit="1" customWidth="1"/>
    <col min="3" max="3" width="9.21875" bestFit="1" customWidth="1"/>
    <col min="4" max="4" width="10.77734375" bestFit="1" customWidth="1"/>
    <col min="5" max="5" width="11.21875" bestFit="1" customWidth="1"/>
    <col min="6" max="6" width="8.77734375" bestFit="1" customWidth="1"/>
    <col min="7" max="7" width="10.88671875" bestFit="1" customWidth="1"/>
    <col min="8" max="8" width="8.5546875" bestFit="1" customWidth="1"/>
    <col min="9" max="9" width="8"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5DBC0-C61D-427A-B1EF-E81B771DD576}">
  <dimension ref="A1:A2"/>
  <sheetViews>
    <sheetView workbookViewId="0">
      <selection activeCell="H16" sqref="H16"/>
    </sheetView>
  </sheetViews>
  <sheetFormatPr baseColWidth="10" defaultRowHeight="14.4" x14ac:dyDescent="0.3"/>
  <sheetData>
    <row r="1" spans="1:1" x14ac:dyDescent="0.3">
      <c r="A1" t="s">
        <v>46</v>
      </c>
    </row>
    <row r="2" spans="1:1" x14ac:dyDescent="0.3">
      <c r="A2"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7E3EC-A11F-4365-8A52-24D6FC35DB8C}">
  <dimension ref="A1:B14"/>
  <sheetViews>
    <sheetView showGridLines="0" workbookViewId="0">
      <selection activeCell="D14" sqref="D14"/>
    </sheetView>
  </sheetViews>
  <sheetFormatPr baseColWidth="10" defaultRowHeight="14.4" x14ac:dyDescent="0.3"/>
  <cols>
    <col min="1" max="1" width="23.109375" customWidth="1"/>
  </cols>
  <sheetData>
    <row r="1" spans="1:2" ht="21" x14ac:dyDescent="0.4">
      <c r="A1" s="35" t="s">
        <v>6</v>
      </c>
      <c r="B1" s="35"/>
    </row>
    <row r="2" spans="1:2" x14ac:dyDescent="0.3">
      <c r="A2" s="22" t="s">
        <v>50</v>
      </c>
      <c r="B2" s="22">
        <v>4.5333333333333332</v>
      </c>
    </row>
    <row r="3" spans="1:2" x14ac:dyDescent="0.3">
      <c r="A3" s="23" t="s">
        <v>51</v>
      </c>
      <c r="B3" s="23">
        <v>0.30482621395744641</v>
      </c>
    </row>
    <row r="4" spans="1:2" x14ac:dyDescent="0.3">
      <c r="A4" s="23" t="s">
        <v>52</v>
      </c>
      <c r="B4" s="23">
        <v>5</v>
      </c>
    </row>
    <row r="5" spans="1:2" x14ac:dyDescent="0.3">
      <c r="A5" s="23" t="s">
        <v>53</v>
      </c>
      <c r="B5" s="23">
        <v>7</v>
      </c>
    </row>
    <row r="6" spans="1:2" x14ac:dyDescent="0.3">
      <c r="A6" s="23" t="s">
        <v>54</v>
      </c>
      <c r="B6" s="23">
        <v>2.3611737002892976</v>
      </c>
    </row>
    <row r="7" spans="1:2" x14ac:dyDescent="0.3">
      <c r="A7" s="23" t="s">
        <v>55</v>
      </c>
      <c r="B7" s="23">
        <v>5.5751412429378542</v>
      </c>
    </row>
    <row r="8" spans="1:2" x14ac:dyDescent="0.3">
      <c r="A8" s="23" t="s">
        <v>56</v>
      </c>
      <c r="B8" s="23">
        <v>-1.3312635836331148</v>
      </c>
    </row>
    <row r="9" spans="1:2" x14ac:dyDescent="0.3">
      <c r="A9" s="23" t="s">
        <v>57</v>
      </c>
      <c r="B9" s="23">
        <v>-8.7103512209282155E-2</v>
      </c>
    </row>
    <row r="10" spans="1:2" x14ac:dyDescent="0.3">
      <c r="A10" s="23" t="s">
        <v>58</v>
      </c>
      <c r="B10" s="23">
        <v>7</v>
      </c>
    </row>
    <row r="11" spans="1:2" x14ac:dyDescent="0.3">
      <c r="A11" s="23" t="s">
        <v>59</v>
      </c>
      <c r="B11" s="23">
        <v>1</v>
      </c>
    </row>
    <row r="12" spans="1:2" x14ac:dyDescent="0.3">
      <c r="A12" s="23" t="s">
        <v>60</v>
      </c>
      <c r="B12" s="23">
        <v>8</v>
      </c>
    </row>
    <row r="13" spans="1:2" x14ac:dyDescent="0.3">
      <c r="A13" s="23" t="s">
        <v>61</v>
      </c>
      <c r="B13" s="23">
        <v>272</v>
      </c>
    </row>
    <row r="14" spans="1:2" ht="15" thickBot="1" x14ac:dyDescent="0.35">
      <c r="A14" s="21" t="s">
        <v>62</v>
      </c>
      <c r="B14" s="21">
        <v>60</v>
      </c>
    </row>
  </sheetData>
  <mergeCells count="1">
    <mergeCell ref="A1:B1"/>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BCF07-A568-4537-A1F4-D19A590DB662}">
  <dimension ref="A1:Q13"/>
  <sheetViews>
    <sheetView showGridLines="0" workbookViewId="0">
      <selection activeCell="J22" sqref="J22"/>
    </sheetView>
  </sheetViews>
  <sheetFormatPr baseColWidth="10" defaultRowHeight="14.4" x14ac:dyDescent="0.3"/>
  <cols>
    <col min="1" max="1" width="16.5546875" bestFit="1" customWidth="1"/>
    <col min="2" max="2" width="16.33203125" bestFit="1" customWidth="1"/>
    <col min="8" max="8" width="15.44140625" customWidth="1"/>
    <col min="9" max="9" width="15.109375" customWidth="1"/>
    <col min="10" max="10" width="8.6640625" customWidth="1"/>
  </cols>
  <sheetData>
    <row r="1" spans="1:17" s="3" customFormat="1" ht="14.4" customHeight="1" x14ac:dyDescent="0.55000000000000004">
      <c r="A1" s="4"/>
      <c r="B1" s="4"/>
      <c r="C1" s="36" t="s">
        <v>40</v>
      </c>
      <c r="D1" s="36"/>
      <c r="E1" s="36"/>
      <c r="F1" s="36"/>
      <c r="G1" s="36"/>
      <c r="H1" s="36"/>
      <c r="I1" s="36"/>
      <c r="J1" s="6"/>
      <c r="K1" s="5"/>
      <c r="L1" s="5"/>
      <c r="M1" s="5"/>
      <c r="N1" s="5"/>
      <c r="O1" s="5"/>
      <c r="P1" s="5"/>
      <c r="Q1" s="5"/>
    </row>
    <row r="2" spans="1:17" s="3" customFormat="1" ht="14.4" customHeight="1" x14ac:dyDescent="0.55000000000000004">
      <c r="A2" s="4"/>
      <c r="B2" s="4"/>
      <c r="C2" s="36"/>
      <c r="D2" s="36"/>
      <c r="E2" s="36"/>
      <c r="F2" s="36"/>
      <c r="G2" s="36"/>
      <c r="H2" s="36"/>
      <c r="I2" s="36"/>
      <c r="J2" s="6"/>
      <c r="K2" s="5"/>
      <c r="L2" s="5"/>
      <c r="M2" s="5"/>
      <c r="N2" s="5"/>
      <c r="O2" s="5"/>
      <c r="P2" s="5"/>
      <c r="Q2" s="5"/>
    </row>
    <row r="3" spans="1:17" s="3" customFormat="1" ht="14.4" customHeight="1" x14ac:dyDescent="0.55000000000000004">
      <c r="A3" s="4"/>
      <c r="B3" s="4"/>
      <c r="C3" s="36"/>
      <c r="D3" s="36"/>
      <c r="E3" s="36"/>
      <c r="F3" s="36"/>
      <c r="G3" s="36"/>
      <c r="H3" s="36"/>
      <c r="I3" s="36"/>
      <c r="J3" s="6"/>
      <c r="K3" s="5"/>
      <c r="L3" s="5"/>
      <c r="M3" s="5"/>
      <c r="N3" s="5"/>
      <c r="O3" s="5"/>
      <c r="P3" s="5"/>
      <c r="Q3" s="5"/>
    </row>
    <row r="4" spans="1:17" s="3" customFormat="1" ht="18" x14ac:dyDescent="0.35">
      <c r="A4" s="4"/>
      <c r="B4" s="4"/>
      <c r="C4" s="37" t="s">
        <v>43</v>
      </c>
      <c r="D4" s="37"/>
      <c r="E4" s="37"/>
      <c r="F4" s="37"/>
      <c r="G4" s="37"/>
      <c r="H4" s="37"/>
      <c r="J4" s="5"/>
      <c r="K4" s="5"/>
      <c r="L4" s="5"/>
      <c r="M4" s="5"/>
      <c r="N4" s="5"/>
      <c r="O4" s="5"/>
      <c r="P4" s="5"/>
      <c r="Q4" s="5"/>
    </row>
    <row r="5" spans="1:17" s="3" customFormat="1" ht="15.6" x14ac:dyDescent="0.3">
      <c r="A5" s="4"/>
      <c r="B5" s="4"/>
      <c r="J5" s="5"/>
      <c r="K5" s="7" t="s">
        <v>41</v>
      </c>
      <c r="L5" s="7"/>
      <c r="M5" s="7" t="s">
        <v>42</v>
      </c>
      <c r="N5" s="7"/>
      <c r="O5" s="7" t="s">
        <v>45</v>
      </c>
      <c r="P5" s="5"/>
      <c r="Q5" s="5"/>
    </row>
    <row r="6" spans="1:17" s="3" customFormat="1" x14ac:dyDescent="0.3">
      <c r="A6" s="4"/>
      <c r="B6" s="4"/>
      <c r="J6" s="5"/>
      <c r="K6" s="5"/>
      <c r="L6" s="5"/>
      <c r="M6" s="5"/>
      <c r="N6" s="5"/>
      <c r="O6" s="5"/>
      <c r="P6" s="5"/>
      <c r="Q6" s="5"/>
    </row>
    <row r="8" spans="1:17" x14ac:dyDescent="0.3">
      <c r="A8" s="38" t="s">
        <v>44</v>
      </c>
      <c r="B8" s="39"/>
    </row>
    <row r="9" spans="1:17" x14ac:dyDescent="0.3">
      <c r="A9" s="39"/>
      <c r="B9" s="39"/>
    </row>
    <row r="10" spans="1:17" x14ac:dyDescent="0.3">
      <c r="A10" s="8" t="s">
        <v>37</v>
      </c>
      <c r="B10" s="8" t="s">
        <v>39</v>
      </c>
    </row>
    <row r="11" spans="1:17" x14ac:dyDescent="0.3">
      <c r="A11" s="10" t="s">
        <v>11</v>
      </c>
      <c r="B11" s="76">
        <v>34</v>
      </c>
    </row>
    <row r="12" spans="1:17" x14ac:dyDescent="0.3">
      <c r="A12" s="2" t="s">
        <v>14</v>
      </c>
      <c r="B12" s="72">
        <v>49</v>
      </c>
    </row>
    <row r="13" spans="1:17" ht="15.6" x14ac:dyDescent="0.3">
      <c r="A13" s="9" t="s">
        <v>38</v>
      </c>
      <c r="B13" s="75">
        <v>83</v>
      </c>
    </row>
  </sheetData>
  <mergeCells count="3">
    <mergeCell ref="C1:I3"/>
    <mergeCell ref="C4:H4"/>
    <mergeCell ref="A8:B9"/>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F9EE-CE7B-4D61-8BA9-423B33AEA233}">
  <dimension ref="A1:H5"/>
  <sheetViews>
    <sheetView showGridLines="0" workbookViewId="0">
      <selection activeCell="K12" sqref="K12"/>
    </sheetView>
  </sheetViews>
  <sheetFormatPr baseColWidth="10" defaultRowHeight="14.4" x14ac:dyDescent="0.3"/>
  <cols>
    <col min="1" max="1" width="16.5546875" bestFit="1" customWidth="1"/>
    <col min="2" max="2" width="16.33203125" bestFit="1" customWidth="1"/>
    <col min="8" max="8" width="17.77734375" customWidth="1"/>
  </cols>
  <sheetData>
    <row r="1" spans="1:8" x14ac:dyDescent="0.3">
      <c r="H1" s="12" t="s">
        <v>5</v>
      </c>
    </row>
    <row r="2" spans="1:8" x14ac:dyDescent="0.3">
      <c r="H2" s="12" t="s">
        <v>12</v>
      </c>
    </row>
    <row r="3" spans="1:8" x14ac:dyDescent="0.3">
      <c r="A3" s="11" t="s">
        <v>37</v>
      </c>
      <c r="B3" t="s">
        <v>39</v>
      </c>
      <c r="H3" s="12" t="s">
        <v>17</v>
      </c>
    </row>
    <row r="4" spans="1:8" x14ac:dyDescent="0.3">
      <c r="A4" s="2" t="s">
        <v>20</v>
      </c>
      <c r="B4" s="72">
        <v>83</v>
      </c>
      <c r="H4" s="12" t="s">
        <v>20</v>
      </c>
    </row>
    <row r="5" spans="1:8" x14ac:dyDescent="0.3">
      <c r="A5" s="2" t="s">
        <v>38</v>
      </c>
      <c r="B5" s="72">
        <v>83</v>
      </c>
      <c r="H5" s="12" t="s">
        <v>24</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74951-FBBC-4976-AC26-BCFFD9DBABC6}">
  <dimension ref="A1:A3"/>
  <sheetViews>
    <sheetView showGridLines="0" workbookViewId="0">
      <selection activeCell="I11" sqref="I11"/>
    </sheetView>
  </sheetViews>
  <sheetFormatPr baseColWidth="10" defaultRowHeight="14.4" x14ac:dyDescent="0.3"/>
  <cols>
    <col min="1" max="1" width="19.6640625" customWidth="1"/>
  </cols>
  <sheetData>
    <row r="1" spans="1:1" x14ac:dyDescent="0.3">
      <c r="A1" t="s">
        <v>49</v>
      </c>
    </row>
    <row r="2" spans="1:1" x14ac:dyDescent="0.3">
      <c r="A2" t="s">
        <v>11</v>
      </c>
    </row>
    <row r="3" spans="1:1" x14ac:dyDescent="0.3">
      <c r="A3" t="s">
        <v>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D8B79-59A4-43E6-980A-A60DED17070B}">
  <dimension ref="A1:K61"/>
  <sheetViews>
    <sheetView workbookViewId="0">
      <selection activeCell="K13" sqref="K13"/>
    </sheetView>
  </sheetViews>
  <sheetFormatPr baseColWidth="10" defaultRowHeight="14.4" x14ac:dyDescent="0.3"/>
  <cols>
    <col min="1" max="1" width="9.77734375" bestFit="1" customWidth="1"/>
    <col min="2" max="2" width="14.21875" bestFit="1" customWidth="1"/>
    <col min="3" max="3" width="9.21875" bestFit="1" customWidth="1"/>
    <col min="4" max="4" width="10.77734375" bestFit="1" customWidth="1"/>
    <col min="5" max="5" width="11.21875" bestFit="1" customWidth="1"/>
    <col min="6" max="6" width="8.77734375" bestFit="1" customWidth="1"/>
    <col min="7" max="7" width="10.88671875" bestFit="1" customWidth="1"/>
    <col min="8" max="9" width="12.77734375" style="24" bestFit="1" customWidth="1"/>
    <col min="10" max="11" width="12.44140625" style="24" bestFit="1" customWidth="1"/>
  </cols>
  <sheetData>
    <row r="1" spans="1:11" x14ac:dyDescent="0.3">
      <c r="A1" t="s">
        <v>0</v>
      </c>
      <c r="B1" t="s">
        <v>1</v>
      </c>
      <c r="C1" t="s">
        <v>2</v>
      </c>
      <c r="D1" t="s">
        <v>3</v>
      </c>
      <c r="E1" t="s">
        <v>4</v>
      </c>
      <c r="F1" t="s">
        <v>5</v>
      </c>
      <c r="G1" t="s">
        <v>6</v>
      </c>
      <c r="H1" s="24" t="s">
        <v>7</v>
      </c>
      <c r="I1" s="24" t="s">
        <v>8</v>
      </c>
      <c r="J1" t="s">
        <v>122</v>
      </c>
      <c r="K1" t="s">
        <v>123</v>
      </c>
    </row>
    <row r="2" spans="1:11" x14ac:dyDescent="0.3">
      <c r="A2">
        <v>1001</v>
      </c>
      <c r="B2" s="13">
        <v>46081</v>
      </c>
      <c r="C2" t="s">
        <v>9</v>
      </c>
      <c r="D2" t="s">
        <v>10</v>
      </c>
      <c r="E2" t="s">
        <v>11</v>
      </c>
      <c r="F2" t="s">
        <v>12</v>
      </c>
      <c r="G2">
        <v>7</v>
      </c>
      <c r="H2" s="24">
        <v>290000</v>
      </c>
      <c r="I2" s="24">
        <v>185000</v>
      </c>
      <c r="J2">
        <v>2030000</v>
      </c>
      <c r="K2">
        <v>1295000</v>
      </c>
    </row>
    <row r="3" spans="1:11" x14ac:dyDescent="0.3">
      <c r="A3">
        <v>1002</v>
      </c>
      <c r="B3" s="13">
        <v>46203</v>
      </c>
      <c r="C3" t="s">
        <v>9</v>
      </c>
      <c r="D3" t="s">
        <v>13</v>
      </c>
      <c r="E3" t="s">
        <v>14</v>
      </c>
      <c r="F3" t="s">
        <v>12</v>
      </c>
      <c r="G3">
        <v>2</v>
      </c>
      <c r="H3" s="24">
        <v>850000</v>
      </c>
      <c r="I3" s="24">
        <v>650000</v>
      </c>
      <c r="J3">
        <v>1700000</v>
      </c>
      <c r="K3">
        <v>1300000</v>
      </c>
    </row>
    <row r="4" spans="1:11" x14ac:dyDescent="0.3">
      <c r="A4">
        <v>1003</v>
      </c>
      <c r="B4" s="13">
        <v>46152</v>
      </c>
      <c r="C4" t="s">
        <v>15</v>
      </c>
      <c r="D4" t="s">
        <v>16</v>
      </c>
      <c r="E4" t="s">
        <v>14</v>
      </c>
      <c r="F4" t="s">
        <v>17</v>
      </c>
      <c r="G4">
        <v>7</v>
      </c>
      <c r="H4" s="24">
        <v>45000</v>
      </c>
      <c r="I4" s="24">
        <v>25000</v>
      </c>
      <c r="J4">
        <v>315000</v>
      </c>
      <c r="K4">
        <v>175000</v>
      </c>
    </row>
    <row r="5" spans="1:11" x14ac:dyDescent="0.3">
      <c r="A5">
        <v>1004</v>
      </c>
      <c r="B5" s="13">
        <v>46140</v>
      </c>
      <c r="C5" t="s">
        <v>18</v>
      </c>
      <c r="D5" t="s">
        <v>19</v>
      </c>
      <c r="E5" t="s">
        <v>11</v>
      </c>
      <c r="F5" t="s">
        <v>20</v>
      </c>
      <c r="G5">
        <v>8</v>
      </c>
      <c r="H5" s="24">
        <v>75000</v>
      </c>
      <c r="I5" s="24">
        <v>42000</v>
      </c>
      <c r="J5">
        <v>600000</v>
      </c>
      <c r="K5">
        <v>336000</v>
      </c>
    </row>
    <row r="6" spans="1:11" x14ac:dyDescent="0.3">
      <c r="A6">
        <v>1005</v>
      </c>
      <c r="B6" s="13">
        <v>46169</v>
      </c>
      <c r="C6" t="s">
        <v>21</v>
      </c>
      <c r="D6" t="s">
        <v>16</v>
      </c>
      <c r="E6" t="s">
        <v>14</v>
      </c>
      <c r="F6" t="s">
        <v>20</v>
      </c>
      <c r="G6">
        <v>7</v>
      </c>
      <c r="H6" s="24">
        <v>45000</v>
      </c>
      <c r="I6" s="24">
        <v>25000</v>
      </c>
      <c r="J6">
        <v>315000</v>
      </c>
      <c r="K6">
        <v>175000</v>
      </c>
    </row>
    <row r="7" spans="1:11" x14ac:dyDescent="0.3">
      <c r="A7">
        <v>1006</v>
      </c>
      <c r="B7" s="13">
        <v>46082</v>
      </c>
      <c r="C7" t="s">
        <v>22</v>
      </c>
      <c r="D7" t="s">
        <v>13</v>
      </c>
      <c r="E7" t="s">
        <v>14</v>
      </c>
      <c r="F7" t="s">
        <v>20</v>
      </c>
      <c r="G7">
        <v>5</v>
      </c>
      <c r="H7" s="24">
        <v>850000</v>
      </c>
      <c r="I7" s="24">
        <v>650000</v>
      </c>
      <c r="J7">
        <v>4250000</v>
      </c>
      <c r="K7">
        <v>3250000</v>
      </c>
    </row>
    <row r="8" spans="1:11" x14ac:dyDescent="0.3">
      <c r="A8">
        <v>1007</v>
      </c>
      <c r="B8" s="13">
        <v>46144</v>
      </c>
      <c r="C8" t="s">
        <v>15</v>
      </c>
      <c r="D8" t="s">
        <v>23</v>
      </c>
      <c r="E8" t="s">
        <v>14</v>
      </c>
      <c r="F8" t="s">
        <v>24</v>
      </c>
      <c r="G8">
        <v>2</v>
      </c>
      <c r="H8" s="24">
        <v>120000</v>
      </c>
      <c r="I8" s="24">
        <v>70000</v>
      </c>
      <c r="J8">
        <v>240000</v>
      </c>
      <c r="K8">
        <v>140000</v>
      </c>
    </row>
    <row r="9" spans="1:11" x14ac:dyDescent="0.3">
      <c r="A9">
        <v>1008</v>
      </c>
      <c r="B9" s="13">
        <v>46047</v>
      </c>
      <c r="C9" t="s">
        <v>25</v>
      </c>
      <c r="D9" t="s">
        <v>26</v>
      </c>
      <c r="E9" t="s">
        <v>14</v>
      </c>
      <c r="F9" t="s">
        <v>20</v>
      </c>
      <c r="G9">
        <v>7</v>
      </c>
      <c r="H9" s="24">
        <v>320000</v>
      </c>
      <c r="I9" s="24">
        <v>230000</v>
      </c>
      <c r="J9">
        <v>2240000</v>
      </c>
      <c r="K9">
        <v>1610000</v>
      </c>
    </row>
    <row r="10" spans="1:11" x14ac:dyDescent="0.3">
      <c r="A10">
        <v>1009</v>
      </c>
      <c r="B10" s="13">
        <v>46050</v>
      </c>
      <c r="C10" t="s">
        <v>27</v>
      </c>
      <c r="D10" t="s">
        <v>13</v>
      </c>
      <c r="E10" t="s">
        <v>14</v>
      </c>
      <c r="F10" t="s">
        <v>17</v>
      </c>
      <c r="G10">
        <v>6</v>
      </c>
      <c r="H10" s="24">
        <v>850000</v>
      </c>
      <c r="I10" s="24">
        <v>650000</v>
      </c>
      <c r="J10">
        <v>5100000</v>
      </c>
      <c r="K10">
        <v>3900000</v>
      </c>
    </row>
    <row r="11" spans="1:11" x14ac:dyDescent="0.3">
      <c r="A11">
        <v>1010</v>
      </c>
      <c r="B11" s="13">
        <v>46150</v>
      </c>
      <c r="C11" t="s">
        <v>25</v>
      </c>
      <c r="D11" t="s">
        <v>16</v>
      </c>
      <c r="E11" t="s">
        <v>14</v>
      </c>
      <c r="F11" t="s">
        <v>17</v>
      </c>
      <c r="G11">
        <v>3</v>
      </c>
      <c r="H11" s="24">
        <v>45000</v>
      </c>
      <c r="I11" s="24">
        <v>25000</v>
      </c>
      <c r="J11">
        <v>135000</v>
      </c>
      <c r="K11">
        <v>75000</v>
      </c>
    </row>
    <row r="12" spans="1:11" x14ac:dyDescent="0.3">
      <c r="A12">
        <v>1011</v>
      </c>
      <c r="B12" s="13">
        <v>46161</v>
      </c>
      <c r="C12" t="s">
        <v>28</v>
      </c>
      <c r="D12" t="s">
        <v>13</v>
      </c>
      <c r="E12" t="s">
        <v>14</v>
      </c>
      <c r="F12" t="s">
        <v>12</v>
      </c>
      <c r="G12">
        <v>8</v>
      </c>
      <c r="H12" s="24">
        <v>850000</v>
      </c>
      <c r="I12" s="24">
        <v>650000</v>
      </c>
      <c r="J12">
        <v>6800000</v>
      </c>
      <c r="K12">
        <v>5200000</v>
      </c>
    </row>
    <row r="13" spans="1:11" x14ac:dyDescent="0.3">
      <c r="A13">
        <v>1012</v>
      </c>
      <c r="B13" s="13">
        <v>46060</v>
      </c>
      <c r="C13" t="s">
        <v>29</v>
      </c>
      <c r="D13" t="s">
        <v>19</v>
      </c>
      <c r="E13" t="s">
        <v>11</v>
      </c>
      <c r="F13" t="s">
        <v>24</v>
      </c>
      <c r="G13">
        <v>8</v>
      </c>
      <c r="H13" s="24">
        <v>75000</v>
      </c>
      <c r="I13" s="24">
        <v>42000</v>
      </c>
      <c r="J13">
        <v>600000</v>
      </c>
      <c r="K13">
        <v>336000</v>
      </c>
    </row>
    <row r="14" spans="1:11" x14ac:dyDescent="0.3">
      <c r="A14">
        <v>1013</v>
      </c>
      <c r="B14" s="13">
        <v>46132</v>
      </c>
      <c r="C14" t="s">
        <v>30</v>
      </c>
      <c r="D14" t="s">
        <v>31</v>
      </c>
      <c r="E14" t="s">
        <v>14</v>
      </c>
      <c r="F14" t="s">
        <v>17</v>
      </c>
      <c r="G14">
        <v>3</v>
      </c>
      <c r="H14" s="24">
        <v>85000</v>
      </c>
      <c r="I14" s="24">
        <v>52000</v>
      </c>
      <c r="J14">
        <v>255000</v>
      </c>
      <c r="K14">
        <v>156000</v>
      </c>
    </row>
    <row r="15" spans="1:11" x14ac:dyDescent="0.3">
      <c r="A15">
        <v>1014</v>
      </c>
      <c r="B15" s="13">
        <v>46159</v>
      </c>
      <c r="C15" t="s">
        <v>15</v>
      </c>
      <c r="D15" t="s">
        <v>10</v>
      </c>
      <c r="E15" t="s">
        <v>11</v>
      </c>
      <c r="F15" t="s">
        <v>20</v>
      </c>
      <c r="G15">
        <v>6</v>
      </c>
      <c r="H15" s="24">
        <v>290000</v>
      </c>
      <c r="I15" s="24">
        <v>185000</v>
      </c>
      <c r="J15">
        <v>1740000</v>
      </c>
      <c r="K15">
        <v>1110000</v>
      </c>
    </row>
    <row r="16" spans="1:11" x14ac:dyDescent="0.3">
      <c r="A16">
        <v>1015</v>
      </c>
      <c r="B16" s="13">
        <v>46151</v>
      </c>
      <c r="C16" t="s">
        <v>9</v>
      </c>
      <c r="D16" t="s">
        <v>16</v>
      </c>
      <c r="E16" t="s">
        <v>14</v>
      </c>
      <c r="F16" t="s">
        <v>24</v>
      </c>
      <c r="G16">
        <v>5</v>
      </c>
      <c r="H16" s="24">
        <v>45000</v>
      </c>
      <c r="I16" s="24">
        <v>25000</v>
      </c>
      <c r="J16">
        <v>225000</v>
      </c>
      <c r="K16">
        <v>125000</v>
      </c>
    </row>
    <row r="17" spans="1:11" x14ac:dyDescent="0.3">
      <c r="A17">
        <v>1016</v>
      </c>
      <c r="B17" s="13">
        <v>46158</v>
      </c>
      <c r="C17" t="s">
        <v>30</v>
      </c>
      <c r="D17" t="s">
        <v>32</v>
      </c>
      <c r="E17" t="s">
        <v>11</v>
      </c>
      <c r="F17" t="s">
        <v>12</v>
      </c>
      <c r="G17">
        <v>2</v>
      </c>
      <c r="H17" s="24">
        <v>180000</v>
      </c>
      <c r="I17" s="24">
        <v>110000</v>
      </c>
      <c r="J17">
        <v>360000</v>
      </c>
      <c r="K17">
        <v>220000</v>
      </c>
    </row>
    <row r="18" spans="1:11" x14ac:dyDescent="0.3">
      <c r="A18">
        <v>1017</v>
      </c>
      <c r="B18" s="13">
        <v>46111</v>
      </c>
      <c r="C18" t="s">
        <v>29</v>
      </c>
      <c r="D18" t="s">
        <v>16</v>
      </c>
      <c r="E18" t="s">
        <v>14</v>
      </c>
      <c r="G18">
        <v>1</v>
      </c>
      <c r="H18" s="24">
        <v>45000</v>
      </c>
      <c r="I18" s="24">
        <v>25000</v>
      </c>
      <c r="J18">
        <v>45000</v>
      </c>
      <c r="K18">
        <v>25000</v>
      </c>
    </row>
    <row r="19" spans="1:11" x14ac:dyDescent="0.3">
      <c r="A19">
        <v>1018</v>
      </c>
      <c r="B19" s="13">
        <v>46079</v>
      </c>
      <c r="C19" t="s">
        <v>18</v>
      </c>
      <c r="D19" t="s">
        <v>32</v>
      </c>
      <c r="E19" t="s">
        <v>11</v>
      </c>
      <c r="F19" t="s">
        <v>24</v>
      </c>
      <c r="G19">
        <v>1</v>
      </c>
      <c r="H19" s="24">
        <v>180000</v>
      </c>
      <c r="I19" s="24">
        <v>110000</v>
      </c>
      <c r="J19">
        <v>180000</v>
      </c>
      <c r="K19">
        <v>110000</v>
      </c>
    </row>
    <row r="20" spans="1:11" x14ac:dyDescent="0.3">
      <c r="A20">
        <v>1019</v>
      </c>
      <c r="B20" s="13">
        <v>46119</v>
      </c>
      <c r="C20" t="s">
        <v>9</v>
      </c>
      <c r="D20" t="s">
        <v>32</v>
      </c>
      <c r="E20" t="s">
        <v>11</v>
      </c>
      <c r="F20" t="s">
        <v>20</v>
      </c>
      <c r="G20">
        <v>7</v>
      </c>
      <c r="H20" s="24">
        <v>180000</v>
      </c>
      <c r="I20" s="24">
        <v>110000</v>
      </c>
      <c r="J20">
        <v>1260000</v>
      </c>
      <c r="K20">
        <v>770000</v>
      </c>
    </row>
    <row r="21" spans="1:11" x14ac:dyDescent="0.3">
      <c r="A21">
        <v>1020</v>
      </c>
      <c r="B21" s="13">
        <v>46052</v>
      </c>
      <c r="C21" t="s">
        <v>27</v>
      </c>
      <c r="D21" t="s">
        <v>31</v>
      </c>
      <c r="E21" t="s">
        <v>14</v>
      </c>
      <c r="F21" t="s">
        <v>12</v>
      </c>
      <c r="G21">
        <v>1</v>
      </c>
      <c r="H21" s="24">
        <v>85000</v>
      </c>
      <c r="I21" s="24">
        <v>52000</v>
      </c>
      <c r="J21">
        <v>85000</v>
      </c>
      <c r="K21">
        <v>52000</v>
      </c>
    </row>
    <row r="22" spans="1:11" x14ac:dyDescent="0.3">
      <c r="A22">
        <v>1021</v>
      </c>
      <c r="B22" s="13">
        <v>46099</v>
      </c>
      <c r="C22" t="s">
        <v>30</v>
      </c>
      <c r="D22" t="s">
        <v>26</v>
      </c>
      <c r="E22" t="s">
        <v>14</v>
      </c>
      <c r="F22" t="s">
        <v>20</v>
      </c>
      <c r="G22">
        <v>1</v>
      </c>
      <c r="H22" s="24">
        <v>320000</v>
      </c>
      <c r="I22" s="24">
        <v>230000</v>
      </c>
      <c r="J22">
        <v>320000</v>
      </c>
      <c r="K22">
        <v>230000</v>
      </c>
    </row>
    <row r="23" spans="1:11" x14ac:dyDescent="0.3">
      <c r="A23">
        <v>1022</v>
      </c>
      <c r="B23" s="13">
        <v>46110</v>
      </c>
      <c r="C23" t="s">
        <v>33</v>
      </c>
      <c r="D23" t="s">
        <v>31</v>
      </c>
      <c r="E23" t="s">
        <v>14</v>
      </c>
      <c r="F23" t="s">
        <v>12</v>
      </c>
      <c r="G23">
        <v>7</v>
      </c>
      <c r="H23" s="24">
        <v>85000</v>
      </c>
      <c r="I23" s="24">
        <v>52000</v>
      </c>
      <c r="J23">
        <v>595000</v>
      </c>
      <c r="K23">
        <v>364000</v>
      </c>
    </row>
    <row r="24" spans="1:11" x14ac:dyDescent="0.3">
      <c r="A24">
        <v>1023</v>
      </c>
      <c r="B24" s="13">
        <v>46058</v>
      </c>
      <c r="D24" t="s">
        <v>23</v>
      </c>
      <c r="E24" t="s">
        <v>14</v>
      </c>
      <c r="F24" t="s">
        <v>20</v>
      </c>
      <c r="G24">
        <v>8</v>
      </c>
      <c r="H24" s="24">
        <v>120000</v>
      </c>
      <c r="I24" s="24">
        <v>70000</v>
      </c>
      <c r="J24">
        <v>960000</v>
      </c>
      <c r="K24">
        <v>560000</v>
      </c>
    </row>
    <row r="25" spans="1:11" x14ac:dyDescent="0.3">
      <c r="A25">
        <v>1024</v>
      </c>
      <c r="B25" s="13">
        <v>46043</v>
      </c>
      <c r="C25" t="s">
        <v>28</v>
      </c>
      <c r="D25" t="s">
        <v>26</v>
      </c>
      <c r="E25" t="s">
        <v>14</v>
      </c>
      <c r="F25" t="s">
        <v>17</v>
      </c>
      <c r="G25">
        <v>5</v>
      </c>
      <c r="H25" s="24">
        <v>320000</v>
      </c>
      <c r="I25" s="24">
        <v>230000</v>
      </c>
      <c r="J25">
        <v>1600000</v>
      </c>
      <c r="K25">
        <v>1150000</v>
      </c>
    </row>
    <row r="26" spans="1:11" x14ac:dyDescent="0.3">
      <c r="A26">
        <v>1025</v>
      </c>
      <c r="B26" s="13">
        <v>46031</v>
      </c>
      <c r="C26" t="s">
        <v>30</v>
      </c>
      <c r="D26" t="s">
        <v>26</v>
      </c>
      <c r="E26" t="s">
        <v>14</v>
      </c>
      <c r="F26" t="s">
        <v>24</v>
      </c>
      <c r="G26">
        <v>2</v>
      </c>
      <c r="H26" s="24">
        <v>320000</v>
      </c>
      <c r="I26" s="24">
        <v>230000</v>
      </c>
      <c r="J26">
        <v>640000</v>
      </c>
      <c r="K26">
        <v>460000</v>
      </c>
    </row>
    <row r="27" spans="1:11" x14ac:dyDescent="0.3">
      <c r="A27">
        <v>1026</v>
      </c>
      <c r="B27" s="13">
        <v>46062</v>
      </c>
      <c r="C27" t="s">
        <v>25</v>
      </c>
      <c r="D27" t="s">
        <v>19</v>
      </c>
      <c r="E27" t="s">
        <v>11</v>
      </c>
      <c r="F27" t="s">
        <v>17</v>
      </c>
      <c r="G27">
        <v>3</v>
      </c>
      <c r="H27" s="24">
        <v>75000</v>
      </c>
      <c r="I27" s="24">
        <v>42000</v>
      </c>
      <c r="J27">
        <v>225000</v>
      </c>
      <c r="K27">
        <v>126000</v>
      </c>
    </row>
    <row r="28" spans="1:11" x14ac:dyDescent="0.3">
      <c r="A28">
        <v>1027</v>
      </c>
      <c r="B28" s="13">
        <v>46071</v>
      </c>
      <c r="C28" t="s">
        <v>34</v>
      </c>
      <c r="D28" t="s">
        <v>13</v>
      </c>
      <c r="E28" t="s">
        <v>14</v>
      </c>
      <c r="F28" t="s">
        <v>20</v>
      </c>
      <c r="G28">
        <v>3</v>
      </c>
      <c r="H28" s="24">
        <v>850000</v>
      </c>
      <c r="I28" s="24">
        <v>650000</v>
      </c>
      <c r="J28">
        <v>2550000</v>
      </c>
      <c r="K28">
        <v>1950000</v>
      </c>
    </row>
    <row r="29" spans="1:11" x14ac:dyDescent="0.3">
      <c r="A29">
        <v>1028</v>
      </c>
      <c r="B29" s="13">
        <v>46191</v>
      </c>
      <c r="C29" t="s">
        <v>34</v>
      </c>
      <c r="D29" t="s">
        <v>26</v>
      </c>
      <c r="E29" t="s">
        <v>14</v>
      </c>
      <c r="F29" t="s">
        <v>24</v>
      </c>
      <c r="G29">
        <v>5</v>
      </c>
      <c r="H29" s="24">
        <v>320000</v>
      </c>
      <c r="I29" s="24">
        <v>230000</v>
      </c>
      <c r="J29">
        <v>1600000</v>
      </c>
      <c r="K29">
        <v>1150000</v>
      </c>
    </row>
    <row r="30" spans="1:11" x14ac:dyDescent="0.3">
      <c r="A30">
        <v>1029</v>
      </c>
      <c r="B30" s="13">
        <v>46116</v>
      </c>
      <c r="C30" t="s">
        <v>27</v>
      </c>
      <c r="D30" t="s">
        <v>13</v>
      </c>
      <c r="E30" t="s">
        <v>14</v>
      </c>
      <c r="F30" t="s">
        <v>17</v>
      </c>
      <c r="G30">
        <v>8</v>
      </c>
      <c r="H30" s="24">
        <v>850000</v>
      </c>
      <c r="I30" s="24">
        <v>650000</v>
      </c>
      <c r="J30">
        <v>6800000</v>
      </c>
      <c r="K30">
        <v>5200000</v>
      </c>
    </row>
    <row r="31" spans="1:11" x14ac:dyDescent="0.3">
      <c r="A31">
        <v>1030</v>
      </c>
      <c r="B31" s="13">
        <v>46181</v>
      </c>
      <c r="C31" t="s">
        <v>9</v>
      </c>
      <c r="D31" t="s">
        <v>13</v>
      </c>
      <c r="E31" t="s">
        <v>14</v>
      </c>
      <c r="F31" t="s">
        <v>24</v>
      </c>
      <c r="G31">
        <v>3</v>
      </c>
      <c r="H31" s="24">
        <v>850000</v>
      </c>
      <c r="I31" s="24">
        <v>650000</v>
      </c>
      <c r="J31">
        <v>2550000</v>
      </c>
      <c r="K31">
        <v>1950000</v>
      </c>
    </row>
    <row r="32" spans="1:11" x14ac:dyDescent="0.3">
      <c r="A32">
        <v>1031</v>
      </c>
      <c r="B32" s="13">
        <v>46133</v>
      </c>
      <c r="C32" t="s">
        <v>21</v>
      </c>
      <c r="D32" t="s">
        <v>19</v>
      </c>
      <c r="E32" t="s">
        <v>11</v>
      </c>
      <c r="F32" t="s">
        <v>12</v>
      </c>
      <c r="G32">
        <v>2</v>
      </c>
      <c r="H32" s="24">
        <v>75000</v>
      </c>
      <c r="I32" s="24">
        <v>42000</v>
      </c>
      <c r="J32">
        <v>150000</v>
      </c>
      <c r="K32">
        <v>84000</v>
      </c>
    </row>
    <row r="33" spans="1:11" x14ac:dyDescent="0.3">
      <c r="A33">
        <v>1032</v>
      </c>
      <c r="B33" s="13">
        <v>46177</v>
      </c>
      <c r="C33" t="s">
        <v>30</v>
      </c>
      <c r="D33" t="s">
        <v>16</v>
      </c>
      <c r="E33" t="s">
        <v>14</v>
      </c>
      <c r="F33" t="s">
        <v>20</v>
      </c>
      <c r="G33">
        <v>8</v>
      </c>
      <c r="H33" s="24">
        <v>45000</v>
      </c>
      <c r="I33" s="24">
        <v>25000</v>
      </c>
      <c r="J33">
        <v>360000</v>
      </c>
      <c r="K33">
        <v>200000</v>
      </c>
    </row>
    <row r="34" spans="1:11" x14ac:dyDescent="0.3">
      <c r="A34">
        <v>1033</v>
      </c>
      <c r="B34" s="13">
        <v>46062</v>
      </c>
      <c r="C34" t="s">
        <v>21</v>
      </c>
      <c r="D34" t="s">
        <v>23</v>
      </c>
      <c r="E34" t="s">
        <v>14</v>
      </c>
      <c r="F34" t="s">
        <v>20</v>
      </c>
      <c r="G34">
        <v>2</v>
      </c>
      <c r="H34" s="24">
        <v>120000</v>
      </c>
      <c r="I34" s="24">
        <v>70000</v>
      </c>
      <c r="J34">
        <v>240000</v>
      </c>
      <c r="K34">
        <v>140000</v>
      </c>
    </row>
    <row r="35" spans="1:11" x14ac:dyDescent="0.3">
      <c r="A35">
        <v>1034</v>
      </c>
      <c r="B35" s="13">
        <v>46188</v>
      </c>
      <c r="C35" t="s">
        <v>22</v>
      </c>
      <c r="D35" t="s">
        <v>31</v>
      </c>
      <c r="E35" t="s">
        <v>14</v>
      </c>
      <c r="F35" t="s">
        <v>17</v>
      </c>
      <c r="G35">
        <v>8</v>
      </c>
      <c r="H35" s="24">
        <v>85000</v>
      </c>
      <c r="I35" s="24">
        <v>52000</v>
      </c>
      <c r="J35">
        <v>680000</v>
      </c>
      <c r="K35">
        <v>416000</v>
      </c>
    </row>
    <row r="36" spans="1:11" x14ac:dyDescent="0.3">
      <c r="A36">
        <v>1035</v>
      </c>
      <c r="B36" s="13">
        <v>46143</v>
      </c>
      <c r="C36" t="s">
        <v>35</v>
      </c>
      <c r="D36" t="s">
        <v>23</v>
      </c>
      <c r="E36" t="s">
        <v>14</v>
      </c>
      <c r="F36" t="s">
        <v>12</v>
      </c>
      <c r="G36">
        <v>6</v>
      </c>
      <c r="H36" s="24">
        <v>120000</v>
      </c>
      <c r="I36" s="24">
        <v>70000</v>
      </c>
      <c r="J36">
        <v>720000</v>
      </c>
      <c r="K36">
        <v>420000</v>
      </c>
    </row>
    <row r="37" spans="1:11" x14ac:dyDescent="0.3">
      <c r="A37">
        <v>1036</v>
      </c>
      <c r="B37" s="13">
        <v>46036</v>
      </c>
      <c r="C37" t="s">
        <v>35</v>
      </c>
      <c r="D37" t="s">
        <v>16</v>
      </c>
      <c r="E37" t="s">
        <v>14</v>
      </c>
      <c r="F37" t="s">
        <v>17</v>
      </c>
      <c r="G37">
        <v>1</v>
      </c>
      <c r="H37" s="24">
        <v>45000</v>
      </c>
      <c r="I37" s="24">
        <v>25000</v>
      </c>
      <c r="J37">
        <v>45000</v>
      </c>
      <c r="K37">
        <v>25000</v>
      </c>
    </row>
    <row r="38" spans="1:11" x14ac:dyDescent="0.3">
      <c r="A38">
        <v>1037</v>
      </c>
      <c r="B38" s="13">
        <v>46050</v>
      </c>
      <c r="C38" t="s">
        <v>28</v>
      </c>
      <c r="D38" t="s">
        <v>16</v>
      </c>
      <c r="E38" t="s">
        <v>14</v>
      </c>
      <c r="F38" t="s">
        <v>17</v>
      </c>
      <c r="G38">
        <v>1</v>
      </c>
      <c r="H38" s="24">
        <v>45000</v>
      </c>
      <c r="I38" s="24">
        <v>25000</v>
      </c>
      <c r="J38">
        <v>45000</v>
      </c>
      <c r="K38">
        <v>25000</v>
      </c>
    </row>
    <row r="39" spans="1:11" x14ac:dyDescent="0.3">
      <c r="A39">
        <v>1038</v>
      </c>
      <c r="B39" s="13">
        <v>46190</v>
      </c>
      <c r="C39" t="s">
        <v>22</v>
      </c>
      <c r="D39" t="s">
        <v>10</v>
      </c>
      <c r="E39" t="s">
        <v>11</v>
      </c>
      <c r="F39" t="s">
        <v>17</v>
      </c>
      <c r="G39">
        <v>7</v>
      </c>
      <c r="H39" s="24">
        <v>290000</v>
      </c>
      <c r="I39" s="24">
        <v>185000</v>
      </c>
      <c r="J39">
        <v>2030000</v>
      </c>
      <c r="K39">
        <v>1295000</v>
      </c>
    </row>
    <row r="40" spans="1:11" x14ac:dyDescent="0.3">
      <c r="A40">
        <v>1039</v>
      </c>
      <c r="B40" s="13">
        <v>46176</v>
      </c>
      <c r="C40" t="s">
        <v>34</v>
      </c>
      <c r="D40" t="s">
        <v>16</v>
      </c>
      <c r="E40" t="s">
        <v>14</v>
      </c>
      <c r="F40" t="s">
        <v>20</v>
      </c>
      <c r="G40">
        <v>4</v>
      </c>
      <c r="H40" s="24">
        <v>45000</v>
      </c>
      <c r="I40" s="24">
        <v>25000</v>
      </c>
      <c r="J40">
        <v>180000</v>
      </c>
      <c r="K40">
        <v>100000</v>
      </c>
    </row>
    <row r="41" spans="1:11" x14ac:dyDescent="0.3">
      <c r="A41">
        <v>1040</v>
      </c>
      <c r="B41" s="13">
        <v>46156</v>
      </c>
      <c r="C41" t="s">
        <v>29</v>
      </c>
      <c r="D41" t="s">
        <v>16</v>
      </c>
      <c r="E41" t="s">
        <v>14</v>
      </c>
      <c r="F41" t="s">
        <v>24</v>
      </c>
      <c r="G41">
        <v>1</v>
      </c>
      <c r="H41" s="24">
        <v>45000</v>
      </c>
      <c r="I41" s="24">
        <v>25000</v>
      </c>
      <c r="J41">
        <v>45000</v>
      </c>
      <c r="K41">
        <v>25000</v>
      </c>
    </row>
    <row r="42" spans="1:11" x14ac:dyDescent="0.3">
      <c r="A42">
        <v>1041</v>
      </c>
      <c r="B42" s="13">
        <v>46043</v>
      </c>
      <c r="C42" t="s">
        <v>27</v>
      </c>
      <c r="D42" t="s">
        <v>10</v>
      </c>
      <c r="E42" t="s">
        <v>11</v>
      </c>
      <c r="F42" t="s">
        <v>24</v>
      </c>
      <c r="G42">
        <v>7</v>
      </c>
      <c r="H42" s="24">
        <v>290000</v>
      </c>
      <c r="I42" s="24">
        <v>185000</v>
      </c>
      <c r="J42">
        <v>2030000</v>
      </c>
      <c r="K42">
        <v>1295000</v>
      </c>
    </row>
    <row r="43" spans="1:11" x14ac:dyDescent="0.3">
      <c r="A43">
        <v>1042</v>
      </c>
      <c r="B43" s="13">
        <v>46043</v>
      </c>
      <c r="C43" t="s">
        <v>30</v>
      </c>
      <c r="D43" t="s">
        <v>23</v>
      </c>
      <c r="E43" t="s">
        <v>14</v>
      </c>
      <c r="G43">
        <v>6</v>
      </c>
      <c r="H43" s="24">
        <v>120000</v>
      </c>
      <c r="I43" s="24">
        <v>70000</v>
      </c>
      <c r="J43">
        <v>720000</v>
      </c>
      <c r="K43">
        <v>420000</v>
      </c>
    </row>
    <row r="44" spans="1:11" x14ac:dyDescent="0.3">
      <c r="A44">
        <v>1043</v>
      </c>
      <c r="B44" s="13">
        <v>46155</v>
      </c>
      <c r="C44" t="s">
        <v>30</v>
      </c>
      <c r="D44" t="s">
        <v>32</v>
      </c>
      <c r="E44" t="s">
        <v>11</v>
      </c>
      <c r="F44" t="s">
        <v>24</v>
      </c>
      <c r="G44">
        <v>6</v>
      </c>
      <c r="H44" s="24">
        <v>180000</v>
      </c>
      <c r="I44" s="24">
        <v>110000</v>
      </c>
      <c r="J44">
        <v>1080000</v>
      </c>
      <c r="K44">
        <v>660000</v>
      </c>
    </row>
    <row r="45" spans="1:11" x14ac:dyDescent="0.3">
      <c r="A45">
        <v>1044</v>
      </c>
      <c r="B45" s="13">
        <v>46189</v>
      </c>
      <c r="C45" t="s">
        <v>35</v>
      </c>
      <c r="D45" t="s">
        <v>26</v>
      </c>
      <c r="E45" t="s">
        <v>14</v>
      </c>
      <c r="F45" t="s">
        <v>24</v>
      </c>
      <c r="G45">
        <v>4</v>
      </c>
      <c r="H45" s="24">
        <v>320000</v>
      </c>
      <c r="I45" s="24">
        <v>230000</v>
      </c>
      <c r="J45">
        <v>1280000</v>
      </c>
      <c r="K45">
        <v>920000</v>
      </c>
    </row>
    <row r="46" spans="1:11" x14ac:dyDescent="0.3">
      <c r="A46">
        <v>1045</v>
      </c>
      <c r="B46" s="13">
        <v>46119</v>
      </c>
      <c r="C46" t="s">
        <v>29</v>
      </c>
      <c r="D46" t="s">
        <v>32</v>
      </c>
      <c r="E46" t="s">
        <v>11</v>
      </c>
      <c r="F46" t="s">
        <v>20</v>
      </c>
      <c r="G46">
        <v>4</v>
      </c>
      <c r="H46" s="24">
        <v>180000</v>
      </c>
      <c r="I46" s="24">
        <v>110000</v>
      </c>
      <c r="J46">
        <v>720000</v>
      </c>
      <c r="K46">
        <v>440000</v>
      </c>
    </row>
    <row r="47" spans="1:11" x14ac:dyDescent="0.3">
      <c r="A47">
        <v>1046</v>
      </c>
      <c r="B47" s="13">
        <v>46179</v>
      </c>
      <c r="C47" t="s">
        <v>36</v>
      </c>
      <c r="D47" t="s">
        <v>23</v>
      </c>
      <c r="E47" t="s">
        <v>14</v>
      </c>
      <c r="F47" t="s">
        <v>24</v>
      </c>
      <c r="G47">
        <v>6</v>
      </c>
      <c r="H47" s="24">
        <v>120000</v>
      </c>
      <c r="I47" s="24">
        <v>70000</v>
      </c>
      <c r="J47">
        <v>720000</v>
      </c>
      <c r="K47">
        <v>420000</v>
      </c>
    </row>
    <row r="48" spans="1:11" x14ac:dyDescent="0.3">
      <c r="A48">
        <v>1047</v>
      </c>
      <c r="B48" s="13">
        <v>46195</v>
      </c>
      <c r="C48" t="s">
        <v>35</v>
      </c>
      <c r="D48" t="s">
        <v>23</v>
      </c>
      <c r="E48" t="s">
        <v>14</v>
      </c>
      <c r="F48" t="s">
        <v>17</v>
      </c>
      <c r="G48">
        <v>4</v>
      </c>
      <c r="H48" s="24">
        <v>120000</v>
      </c>
      <c r="I48" s="24">
        <v>70000</v>
      </c>
      <c r="J48">
        <v>480000</v>
      </c>
      <c r="K48">
        <v>280000</v>
      </c>
    </row>
    <row r="49" spans="1:11" x14ac:dyDescent="0.3">
      <c r="A49">
        <v>1048</v>
      </c>
      <c r="B49" s="13">
        <v>46091</v>
      </c>
      <c r="C49" t="s">
        <v>35</v>
      </c>
      <c r="D49" t="s">
        <v>31</v>
      </c>
      <c r="E49" t="s">
        <v>14</v>
      </c>
      <c r="F49" t="s">
        <v>24</v>
      </c>
      <c r="G49">
        <v>2</v>
      </c>
      <c r="H49" s="24">
        <v>85000</v>
      </c>
      <c r="I49" s="24">
        <v>52000</v>
      </c>
      <c r="J49">
        <v>170000</v>
      </c>
      <c r="K49">
        <v>104000</v>
      </c>
    </row>
    <row r="50" spans="1:11" x14ac:dyDescent="0.3">
      <c r="A50">
        <v>1049</v>
      </c>
      <c r="B50" s="13">
        <v>46130</v>
      </c>
      <c r="C50" t="s">
        <v>29</v>
      </c>
      <c r="D50" t="s">
        <v>26</v>
      </c>
      <c r="E50" t="s">
        <v>14</v>
      </c>
      <c r="F50" t="s">
        <v>24</v>
      </c>
      <c r="G50">
        <v>5</v>
      </c>
      <c r="H50" s="24">
        <v>320000</v>
      </c>
      <c r="I50" s="24">
        <v>230000</v>
      </c>
      <c r="J50">
        <v>1600000</v>
      </c>
      <c r="K50">
        <v>1150000</v>
      </c>
    </row>
    <row r="51" spans="1:11" x14ac:dyDescent="0.3">
      <c r="A51">
        <v>1050</v>
      </c>
      <c r="B51" s="13">
        <v>46152</v>
      </c>
      <c r="C51" t="s">
        <v>33</v>
      </c>
      <c r="D51" t="s">
        <v>32</v>
      </c>
      <c r="E51" t="s">
        <v>11</v>
      </c>
      <c r="F51" t="s">
        <v>20</v>
      </c>
      <c r="G51">
        <v>5</v>
      </c>
      <c r="H51" s="24">
        <v>180000</v>
      </c>
      <c r="I51" s="24">
        <v>110000</v>
      </c>
      <c r="J51">
        <v>900000</v>
      </c>
      <c r="K51">
        <v>550000</v>
      </c>
    </row>
    <row r="52" spans="1:11" x14ac:dyDescent="0.3">
      <c r="A52">
        <v>1051</v>
      </c>
      <c r="B52" s="13">
        <v>46085</v>
      </c>
      <c r="D52" t="s">
        <v>10</v>
      </c>
      <c r="E52" t="s">
        <v>11</v>
      </c>
      <c r="F52" t="s">
        <v>20</v>
      </c>
      <c r="G52">
        <v>4</v>
      </c>
      <c r="H52" s="24">
        <v>290000</v>
      </c>
      <c r="I52" s="24">
        <v>185000</v>
      </c>
      <c r="J52">
        <v>1160000</v>
      </c>
      <c r="K52">
        <v>740000</v>
      </c>
    </row>
    <row r="53" spans="1:11" x14ac:dyDescent="0.3">
      <c r="A53">
        <v>1052</v>
      </c>
      <c r="B53" s="13">
        <v>46086</v>
      </c>
      <c r="C53" t="s">
        <v>34</v>
      </c>
      <c r="D53" t="s">
        <v>16</v>
      </c>
      <c r="E53" t="s">
        <v>14</v>
      </c>
      <c r="F53" t="s">
        <v>20</v>
      </c>
      <c r="G53">
        <v>4</v>
      </c>
      <c r="H53" s="24">
        <v>45000</v>
      </c>
      <c r="I53" s="24">
        <v>25000</v>
      </c>
      <c r="J53">
        <v>180000</v>
      </c>
      <c r="K53">
        <v>100000</v>
      </c>
    </row>
    <row r="54" spans="1:11" x14ac:dyDescent="0.3">
      <c r="A54">
        <v>1053</v>
      </c>
      <c r="B54" s="13">
        <v>46050</v>
      </c>
      <c r="C54" t="s">
        <v>21</v>
      </c>
      <c r="D54" t="s">
        <v>26</v>
      </c>
      <c r="E54" t="s">
        <v>14</v>
      </c>
      <c r="F54" t="s">
        <v>12</v>
      </c>
      <c r="G54">
        <v>7</v>
      </c>
      <c r="H54" s="24">
        <v>320000</v>
      </c>
      <c r="I54" s="24">
        <v>230000</v>
      </c>
      <c r="J54">
        <v>2240000</v>
      </c>
      <c r="K54">
        <v>1610000</v>
      </c>
    </row>
    <row r="55" spans="1:11" x14ac:dyDescent="0.3">
      <c r="A55">
        <v>1054</v>
      </c>
      <c r="B55" s="13">
        <v>46168</v>
      </c>
      <c r="C55" t="s">
        <v>30</v>
      </c>
      <c r="D55" t="s">
        <v>23</v>
      </c>
      <c r="E55" t="s">
        <v>14</v>
      </c>
      <c r="F55" t="s">
        <v>12</v>
      </c>
      <c r="G55">
        <v>1</v>
      </c>
      <c r="H55" s="24">
        <v>120000</v>
      </c>
      <c r="I55" s="24">
        <v>70000</v>
      </c>
      <c r="J55">
        <v>120000</v>
      </c>
      <c r="K55">
        <v>70000</v>
      </c>
    </row>
    <row r="56" spans="1:11" x14ac:dyDescent="0.3">
      <c r="A56">
        <v>1055</v>
      </c>
      <c r="B56" s="13">
        <v>46028</v>
      </c>
      <c r="C56" t="s">
        <v>21</v>
      </c>
      <c r="D56" t="s">
        <v>16</v>
      </c>
      <c r="E56" t="s">
        <v>14</v>
      </c>
      <c r="F56" t="s">
        <v>17</v>
      </c>
      <c r="G56">
        <v>5</v>
      </c>
      <c r="H56" s="24">
        <v>45000</v>
      </c>
      <c r="I56" s="24">
        <v>25000</v>
      </c>
      <c r="J56">
        <v>225000</v>
      </c>
      <c r="K56">
        <v>125000</v>
      </c>
    </row>
    <row r="57" spans="1:11" x14ac:dyDescent="0.3">
      <c r="A57">
        <v>1056</v>
      </c>
      <c r="B57" s="13">
        <v>46141</v>
      </c>
      <c r="C57" t="s">
        <v>33</v>
      </c>
      <c r="D57" t="s">
        <v>19</v>
      </c>
      <c r="E57" t="s">
        <v>11</v>
      </c>
      <c r="F57" t="s">
        <v>17</v>
      </c>
      <c r="G57">
        <v>5</v>
      </c>
      <c r="H57" s="24">
        <v>75000</v>
      </c>
      <c r="I57" s="24">
        <v>42000</v>
      </c>
      <c r="J57">
        <v>375000</v>
      </c>
      <c r="K57">
        <v>210000</v>
      </c>
    </row>
    <row r="58" spans="1:11" x14ac:dyDescent="0.3">
      <c r="A58">
        <v>1057</v>
      </c>
      <c r="B58" s="13">
        <v>46055</v>
      </c>
      <c r="C58" t="s">
        <v>34</v>
      </c>
      <c r="D58" t="s">
        <v>10</v>
      </c>
      <c r="E58" t="s">
        <v>11</v>
      </c>
      <c r="F58" t="s">
        <v>17</v>
      </c>
      <c r="G58">
        <v>2</v>
      </c>
      <c r="H58" s="24">
        <v>290000</v>
      </c>
      <c r="I58" s="24">
        <v>185000</v>
      </c>
      <c r="J58">
        <v>580000</v>
      </c>
      <c r="K58">
        <v>370000</v>
      </c>
    </row>
    <row r="59" spans="1:11" x14ac:dyDescent="0.3">
      <c r="A59">
        <v>1058</v>
      </c>
      <c r="B59" s="13">
        <v>46044</v>
      </c>
      <c r="C59" t="s">
        <v>36</v>
      </c>
      <c r="D59" t="s">
        <v>31</v>
      </c>
      <c r="E59" t="s">
        <v>14</v>
      </c>
      <c r="F59" t="s">
        <v>17</v>
      </c>
      <c r="G59">
        <v>6</v>
      </c>
      <c r="H59" s="24">
        <v>85000</v>
      </c>
      <c r="I59" s="24">
        <v>52000</v>
      </c>
      <c r="J59">
        <v>510000</v>
      </c>
      <c r="K59">
        <v>312000</v>
      </c>
    </row>
    <row r="60" spans="1:11" x14ac:dyDescent="0.3">
      <c r="A60">
        <v>1059</v>
      </c>
      <c r="B60" s="13">
        <v>46082</v>
      </c>
      <c r="C60" t="s">
        <v>27</v>
      </c>
      <c r="D60" t="s">
        <v>13</v>
      </c>
      <c r="E60" t="s">
        <v>14</v>
      </c>
      <c r="F60" t="s">
        <v>24</v>
      </c>
      <c r="G60">
        <v>6</v>
      </c>
      <c r="H60" s="24">
        <v>850000</v>
      </c>
      <c r="I60" s="24">
        <v>650000</v>
      </c>
      <c r="J60">
        <v>5100000</v>
      </c>
      <c r="K60">
        <v>3900000</v>
      </c>
    </row>
    <row r="61" spans="1:11" x14ac:dyDescent="0.3">
      <c r="A61">
        <v>1060</v>
      </c>
      <c r="B61" s="13">
        <v>46114</v>
      </c>
      <c r="C61" t="s">
        <v>22</v>
      </c>
      <c r="D61" t="s">
        <v>10</v>
      </c>
      <c r="E61" t="s">
        <v>11</v>
      </c>
      <c r="F61" t="s">
        <v>17</v>
      </c>
      <c r="G61">
        <v>2</v>
      </c>
      <c r="H61" s="24">
        <v>290000</v>
      </c>
      <c r="I61" s="24">
        <v>185000</v>
      </c>
      <c r="J61">
        <v>580000</v>
      </c>
      <c r="K61">
        <v>370000</v>
      </c>
    </row>
  </sheetData>
  <phoneticPr fontId="5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32B71-8DEE-4F87-9F33-43E1DAF3B349}">
  <sheetPr>
    <outlinePr summaryBelow="0"/>
  </sheetPr>
  <dimension ref="B1:G11"/>
  <sheetViews>
    <sheetView showGridLines="0" workbookViewId="0">
      <selection activeCell="E14" sqref="E14"/>
    </sheetView>
  </sheetViews>
  <sheetFormatPr baseColWidth="10" defaultRowHeight="14.4" outlineLevelRow="1" outlineLevelCol="1" x14ac:dyDescent="0.3"/>
  <cols>
    <col min="3" max="3" width="5.109375" bestFit="1" customWidth="1"/>
    <col min="4" max="7" width="13.88671875" bestFit="1" customWidth="1" outlineLevel="1"/>
  </cols>
  <sheetData>
    <row r="1" spans="2:7" ht="15" thickBot="1" x14ac:dyDescent="0.35"/>
    <row r="2" spans="2:7" ht="15.6" x14ac:dyDescent="0.3">
      <c r="B2" s="40" t="s">
        <v>71</v>
      </c>
      <c r="C2" s="40"/>
      <c r="D2" s="40"/>
      <c r="E2" s="40"/>
      <c r="F2" s="40"/>
      <c r="G2" s="40"/>
    </row>
    <row r="3" spans="2:7" ht="16.2" collapsed="1" x14ac:dyDescent="0.35">
      <c r="B3" s="25"/>
      <c r="C3" s="26"/>
      <c r="D3" s="27" t="s">
        <v>73</v>
      </c>
      <c r="E3" s="27" t="s">
        <v>67</v>
      </c>
      <c r="F3" s="27" t="s">
        <v>69</v>
      </c>
      <c r="G3" s="27" t="s">
        <v>70</v>
      </c>
    </row>
    <row r="4" spans="2:7" ht="21.6" hidden="1" outlineLevel="1" x14ac:dyDescent="0.3">
      <c r="B4" s="16"/>
      <c r="C4" s="16"/>
      <c r="E4" s="20" t="s">
        <v>68</v>
      </c>
      <c r="F4" s="20" t="s">
        <v>68</v>
      </c>
      <c r="G4" s="20" t="s">
        <v>68</v>
      </c>
    </row>
    <row r="5" spans="2:7" x14ac:dyDescent="0.3">
      <c r="B5" s="17" t="s">
        <v>72</v>
      </c>
      <c r="C5" s="17"/>
      <c r="D5" s="15"/>
      <c r="E5" s="15"/>
      <c r="F5" s="15"/>
      <c r="G5" s="15"/>
    </row>
    <row r="6" spans="2:7" outlineLevel="1" x14ac:dyDescent="0.3">
      <c r="B6" s="16"/>
      <c r="C6" s="16" t="s">
        <v>65</v>
      </c>
      <c r="D6">
        <v>290000</v>
      </c>
      <c r="E6" s="19">
        <v>250000</v>
      </c>
      <c r="F6" s="19">
        <v>290000</v>
      </c>
      <c r="G6" s="19">
        <v>330000</v>
      </c>
    </row>
    <row r="7" spans="2:7" x14ac:dyDescent="0.3">
      <c r="B7" s="17" t="s">
        <v>74</v>
      </c>
      <c r="C7" s="17"/>
      <c r="D7" s="15"/>
      <c r="E7" s="15"/>
      <c r="F7" s="15"/>
      <c r="G7" s="15"/>
    </row>
    <row r="8" spans="2:7" ht="15" outlineLevel="1" thickBot="1" x14ac:dyDescent="0.35">
      <c r="B8" s="18"/>
      <c r="C8" s="18" t="s">
        <v>66</v>
      </c>
      <c r="D8" s="14">
        <v>78880000</v>
      </c>
      <c r="E8" s="14">
        <v>68000000</v>
      </c>
      <c r="F8" s="14">
        <v>78880000</v>
      </c>
      <c r="G8" s="14">
        <v>89760000</v>
      </c>
    </row>
    <row r="9" spans="2:7" x14ac:dyDescent="0.3">
      <c r="B9" s="28" t="s">
        <v>75</v>
      </c>
      <c r="C9" s="28"/>
      <c r="D9" s="28"/>
      <c r="E9" s="28"/>
      <c r="F9" s="28"/>
      <c r="G9" s="28"/>
    </row>
    <row r="10" spans="2:7" x14ac:dyDescent="0.3">
      <c r="B10" s="28" t="s">
        <v>76</v>
      </c>
      <c r="C10" s="28"/>
      <c r="D10" s="28"/>
      <c r="E10" s="28"/>
      <c r="F10" s="28"/>
      <c r="G10" s="28"/>
    </row>
    <row r="11" spans="2:7" x14ac:dyDescent="0.3">
      <c r="B11" s="28" t="s">
        <v>77</v>
      </c>
      <c r="C11" s="28"/>
      <c r="D11" s="28"/>
      <c r="E11" s="28"/>
      <c r="F11" s="28"/>
      <c r="G11" s="28"/>
    </row>
  </sheetData>
  <mergeCells count="1">
    <mergeCell ref="B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1CF41-D074-4BBA-AD51-7529457B166B}">
  <dimension ref="A1:M61"/>
  <sheetViews>
    <sheetView workbookViewId="0">
      <selection activeCell="K3" sqref="K3"/>
    </sheetView>
  </sheetViews>
  <sheetFormatPr baseColWidth="10" defaultRowHeight="14.4" x14ac:dyDescent="0.3"/>
  <cols>
    <col min="11" max="11" width="14.5546875" bestFit="1" customWidth="1"/>
  </cols>
  <sheetData>
    <row r="1" spans="1:13" x14ac:dyDescent="0.3">
      <c r="A1" t="s">
        <v>0</v>
      </c>
      <c r="B1" t="s">
        <v>1</v>
      </c>
      <c r="C1" t="s">
        <v>2</v>
      </c>
      <c r="D1" t="s">
        <v>3</v>
      </c>
      <c r="E1" t="s">
        <v>4</v>
      </c>
      <c r="F1" t="s">
        <v>5</v>
      </c>
      <c r="G1" t="s">
        <v>6</v>
      </c>
      <c r="H1" t="s">
        <v>7</v>
      </c>
      <c r="I1" t="s">
        <v>8</v>
      </c>
      <c r="J1" t="s">
        <v>122</v>
      </c>
      <c r="K1" t="s">
        <v>123</v>
      </c>
      <c r="M1" t="s">
        <v>63</v>
      </c>
    </row>
    <row r="2" spans="1:13" x14ac:dyDescent="0.3">
      <c r="A2">
        <v>1001</v>
      </c>
      <c r="B2" s="1">
        <v>46081</v>
      </c>
      <c r="C2" t="s">
        <v>9</v>
      </c>
      <c r="D2" t="s">
        <v>10</v>
      </c>
      <c r="E2" t="s">
        <v>11</v>
      </c>
      <c r="F2" t="s">
        <v>12</v>
      </c>
      <c r="G2">
        <v>7</v>
      </c>
      <c r="H2">
        <v>290000</v>
      </c>
      <c r="I2">
        <v>185000</v>
      </c>
      <c r="J2">
        <f t="shared" ref="J2:J33" si="0">G2*H2</f>
        <v>2030000</v>
      </c>
      <c r="K2">
        <f t="shared" ref="K2:K33" si="1">G2*I2</f>
        <v>1295000</v>
      </c>
      <c r="M2">
        <v>290000</v>
      </c>
    </row>
    <row r="3" spans="1:13" x14ac:dyDescent="0.3">
      <c r="A3">
        <v>1002</v>
      </c>
      <c r="B3" s="1">
        <v>46203</v>
      </c>
      <c r="C3" t="s">
        <v>9</v>
      </c>
      <c r="D3" t="s">
        <v>13</v>
      </c>
      <c r="E3" t="s">
        <v>14</v>
      </c>
      <c r="F3" t="s">
        <v>12</v>
      </c>
      <c r="G3">
        <v>2</v>
      </c>
      <c r="H3">
        <v>850000</v>
      </c>
      <c r="I3">
        <v>650000</v>
      </c>
      <c r="J3">
        <f t="shared" si="0"/>
        <v>1700000</v>
      </c>
      <c r="K3">
        <f t="shared" si="1"/>
        <v>1300000</v>
      </c>
    </row>
    <row r="4" spans="1:13" x14ac:dyDescent="0.3">
      <c r="A4">
        <v>1003</v>
      </c>
      <c r="B4" s="1">
        <v>46152</v>
      </c>
      <c r="C4" t="s">
        <v>15</v>
      </c>
      <c r="D4" t="s">
        <v>16</v>
      </c>
      <c r="E4" t="s">
        <v>14</v>
      </c>
      <c r="F4" t="s">
        <v>17</v>
      </c>
      <c r="G4">
        <v>7</v>
      </c>
      <c r="H4">
        <v>45000</v>
      </c>
      <c r="I4">
        <v>25000</v>
      </c>
      <c r="J4">
        <f t="shared" si="0"/>
        <v>315000</v>
      </c>
      <c r="K4">
        <f t="shared" si="1"/>
        <v>175000</v>
      </c>
      <c r="M4" t="s">
        <v>64</v>
      </c>
    </row>
    <row r="5" spans="1:13" x14ac:dyDescent="0.3">
      <c r="A5">
        <v>1004</v>
      </c>
      <c r="B5" s="1">
        <v>46140</v>
      </c>
      <c r="C5" t="s">
        <v>18</v>
      </c>
      <c r="D5" t="s">
        <v>19</v>
      </c>
      <c r="E5" t="s">
        <v>11</v>
      </c>
      <c r="F5" t="s">
        <v>20</v>
      </c>
      <c r="G5">
        <v>8</v>
      </c>
      <c r="H5">
        <v>75000</v>
      </c>
      <c r="I5">
        <v>42000</v>
      </c>
      <c r="J5">
        <f t="shared" si="0"/>
        <v>600000</v>
      </c>
      <c r="K5">
        <f t="shared" si="1"/>
        <v>336000</v>
      </c>
      <c r="M5">
        <f>M2*SUM(G:G)</f>
        <v>78880000</v>
      </c>
    </row>
    <row r="6" spans="1:13" x14ac:dyDescent="0.3">
      <c r="A6">
        <v>1005</v>
      </c>
      <c r="B6" s="1">
        <v>46169</v>
      </c>
      <c r="C6" t="s">
        <v>21</v>
      </c>
      <c r="D6" t="s">
        <v>16</v>
      </c>
      <c r="E6" t="s">
        <v>14</v>
      </c>
      <c r="F6" t="s">
        <v>20</v>
      </c>
      <c r="G6">
        <v>7</v>
      </c>
      <c r="H6">
        <v>45000</v>
      </c>
      <c r="I6">
        <v>25000</v>
      </c>
      <c r="J6">
        <f t="shared" si="0"/>
        <v>315000</v>
      </c>
      <c r="K6">
        <f t="shared" si="1"/>
        <v>175000</v>
      </c>
    </row>
    <row r="7" spans="1:13" x14ac:dyDescent="0.3">
      <c r="A7">
        <v>1006</v>
      </c>
      <c r="B7" s="1">
        <v>46082</v>
      </c>
      <c r="C7" t="s">
        <v>22</v>
      </c>
      <c r="D7" t="s">
        <v>13</v>
      </c>
      <c r="E7" t="s">
        <v>14</v>
      </c>
      <c r="F7" t="s">
        <v>20</v>
      </c>
      <c r="G7">
        <v>5</v>
      </c>
      <c r="H7">
        <v>850000</v>
      </c>
      <c r="I7">
        <v>650000</v>
      </c>
      <c r="J7">
        <f t="shared" si="0"/>
        <v>4250000</v>
      </c>
      <c r="K7">
        <f t="shared" si="1"/>
        <v>3250000</v>
      </c>
    </row>
    <row r="8" spans="1:13" x14ac:dyDescent="0.3">
      <c r="A8">
        <v>1007</v>
      </c>
      <c r="B8" s="1">
        <v>46144</v>
      </c>
      <c r="C8" t="s">
        <v>15</v>
      </c>
      <c r="D8" t="s">
        <v>23</v>
      </c>
      <c r="E8" t="s">
        <v>14</v>
      </c>
      <c r="F8" t="s">
        <v>24</v>
      </c>
      <c r="G8">
        <v>2</v>
      </c>
      <c r="H8">
        <v>120000</v>
      </c>
      <c r="I8">
        <v>70000</v>
      </c>
      <c r="J8">
        <f t="shared" si="0"/>
        <v>240000</v>
      </c>
      <c r="K8">
        <f t="shared" si="1"/>
        <v>140000</v>
      </c>
    </row>
    <row r="9" spans="1:13" x14ac:dyDescent="0.3">
      <c r="A9">
        <v>1008</v>
      </c>
      <c r="B9" s="1">
        <v>46047</v>
      </c>
      <c r="C9" t="s">
        <v>25</v>
      </c>
      <c r="D9" t="s">
        <v>26</v>
      </c>
      <c r="E9" t="s">
        <v>14</v>
      </c>
      <c r="F9" t="s">
        <v>20</v>
      </c>
      <c r="G9">
        <v>7</v>
      </c>
      <c r="H9">
        <v>320000</v>
      </c>
      <c r="I9">
        <v>230000</v>
      </c>
      <c r="J9">
        <f t="shared" si="0"/>
        <v>2240000</v>
      </c>
      <c r="K9">
        <f t="shared" si="1"/>
        <v>1610000</v>
      </c>
    </row>
    <row r="10" spans="1:13" x14ac:dyDescent="0.3">
      <c r="A10">
        <v>1009</v>
      </c>
      <c r="B10" s="1">
        <v>46050</v>
      </c>
      <c r="C10" t="s">
        <v>27</v>
      </c>
      <c r="D10" t="s">
        <v>13</v>
      </c>
      <c r="E10" t="s">
        <v>14</v>
      </c>
      <c r="F10" t="s">
        <v>17</v>
      </c>
      <c r="G10">
        <v>6</v>
      </c>
      <c r="H10">
        <v>850000</v>
      </c>
      <c r="I10">
        <v>650000</v>
      </c>
      <c r="J10">
        <f t="shared" si="0"/>
        <v>5100000</v>
      </c>
      <c r="K10">
        <f t="shared" si="1"/>
        <v>3900000</v>
      </c>
    </row>
    <row r="11" spans="1:13" x14ac:dyDescent="0.3">
      <c r="A11">
        <v>1010</v>
      </c>
      <c r="B11" s="1">
        <v>46150</v>
      </c>
      <c r="C11" t="s">
        <v>25</v>
      </c>
      <c r="D11" t="s">
        <v>16</v>
      </c>
      <c r="E11" t="s">
        <v>14</v>
      </c>
      <c r="F11" t="s">
        <v>17</v>
      </c>
      <c r="G11">
        <v>3</v>
      </c>
      <c r="H11">
        <v>45000</v>
      </c>
      <c r="I11">
        <v>25000</v>
      </c>
      <c r="J11">
        <f t="shared" si="0"/>
        <v>135000</v>
      </c>
      <c r="K11">
        <f t="shared" si="1"/>
        <v>75000</v>
      </c>
    </row>
    <row r="12" spans="1:13" x14ac:dyDescent="0.3">
      <c r="A12">
        <v>1011</v>
      </c>
      <c r="B12" s="1">
        <v>46161</v>
      </c>
      <c r="C12" t="s">
        <v>28</v>
      </c>
      <c r="D12" t="s">
        <v>13</v>
      </c>
      <c r="E12" t="s">
        <v>14</v>
      </c>
      <c r="F12" t="s">
        <v>12</v>
      </c>
      <c r="G12">
        <v>8</v>
      </c>
      <c r="H12">
        <v>850000</v>
      </c>
      <c r="I12">
        <v>650000</v>
      </c>
      <c r="J12">
        <f t="shared" si="0"/>
        <v>6800000</v>
      </c>
      <c r="K12">
        <f t="shared" si="1"/>
        <v>5200000</v>
      </c>
    </row>
    <row r="13" spans="1:13" x14ac:dyDescent="0.3">
      <c r="A13">
        <v>1012</v>
      </c>
      <c r="B13" s="1">
        <v>46060</v>
      </c>
      <c r="C13" t="s">
        <v>29</v>
      </c>
      <c r="D13" t="s">
        <v>19</v>
      </c>
      <c r="E13" t="s">
        <v>11</v>
      </c>
      <c r="F13" t="s">
        <v>24</v>
      </c>
      <c r="G13">
        <v>8</v>
      </c>
      <c r="H13">
        <v>75000</v>
      </c>
      <c r="I13">
        <v>42000</v>
      </c>
      <c r="J13">
        <f t="shared" si="0"/>
        <v>600000</v>
      </c>
      <c r="K13">
        <f t="shared" si="1"/>
        <v>336000</v>
      </c>
    </row>
    <row r="14" spans="1:13" x14ac:dyDescent="0.3">
      <c r="A14">
        <v>1013</v>
      </c>
      <c r="B14" s="1">
        <v>46132</v>
      </c>
      <c r="C14" t="s">
        <v>30</v>
      </c>
      <c r="D14" t="s">
        <v>31</v>
      </c>
      <c r="E14" t="s">
        <v>14</v>
      </c>
      <c r="F14" t="s">
        <v>17</v>
      </c>
      <c r="G14">
        <v>3</v>
      </c>
      <c r="H14">
        <v>85000</v>
      </c>
      <c r="I14">
        <v>52000</v>
      </c>
      <c r="J14">
        <f t="shared" si="0"/>
        <v>255000</v>
      </c>
      <c r="K14">
        <f t="shared" si="1"/>
        <v>156000</v>
      </c>
    </row>
    <row r="15" spans="1:13" x14ac:dyDescent="0.3">
      <c r="A15">
        <v>1014</v>
      </c>
      <c r="B15" s="1">
        <v>46159</v>
      </c>
      <c r="C15" t="s">
        <v>15</v>
      </c>
      <c r="D15" t="s">
        <v>10</v>
      </c>
      <c r="E15" t="s">
        <v>11</v>
      </c>
      <c r="F15" t="s">
        <v>20</v>
      </c>
      <c r="G15">
        <v>6</v>
      </c>
      <c r="H15">
        <v>290000</v>
      </c>
      <c r="I15">
        <v>185000</v>
      </c>
      <c r="J15">
        <f t="shared" si="0"/>
        <v>1740000</v>
      </c>
      <c r="K15">
        <f t="shared" si="1"/>
        <v>1110000</v>
      </c>
    </row>
    <row r="16" spans="1:13" x14ac:dyDescent="0.3">
      <c r="A16">
        <v>1015</v>
      </c>
      <c r="B16" s="1">
        <v>46151</v>
      </c>
      <c r="C16" t="s">
        <v>9</v>
      </c>
      <c r="D16" t="s">
        <v>16</v>
      </c>
      <c r="E16" t="s">
        <v>14</v>
      </c>
      <c r="F16" t="s">
        <v>24</v>
      </c>
      <c r="G16">
        <v>5</v>
      </c>
      <c r="H16">
        <v>45000</v>
      </c>
      <c r="I16">
        <v>25000</v>
      </c>
      <c r="J16">
        <f t="shared" si="0"/>
        <v>225000</v>
      </c>
      <c r="K16">
        <f t="shared" si="1"/>
        <v>125000</v>
      </c>
    </row>
    <row r="17" spans="1:11" x14ac:dyDescent="0.3">
      <c r="A17">
        <v>1016</v>
      </c>
      <c r="B17" s="1">
        <v>46158</v>
      </c>
      <c r="C17" t="s">
        <v>30</v>
      </c>
      <c r="D17" t="s">
        <v>32</v>
      </c>
      <c r="E17" t="s">
        <v>11</v>
      </c>
      <c r="F17" t="s">
        <v>12</v>
      </c>
      <c r="G17">
        <v>2</v>
      </c>
      <c r="H17">
        <v>180000</v>
      </c>
      <c r="I17">
        <v>110000</v>
      </c>
      <c r="J17">
        <f t="shared" si="0"/>
        <v>360000</v>
      </c>
      <c r="K17">
        <f t="shared" si="1"/>
        <v>220000</v>
      </c>
    </row>
    <row r="18" spans="1:11" x14ac:dyDescent="0.3">
      <c r="A18">
        <v>1017</v>
      </c>
      <c r="B18" s="1">
        <v>46111</v>
      </c>
      <c r="C18" t="s">
        <v>29</v>
      </c>
      <c r="D18" t="s">
        <v>16</v>
      </c>
      <c r="E18" t="s">
        <v>14</v>
      </c>
      <c r="G18">
        <v>1</v>
      </c>
      <c r="H18">
        <v>45000</v>
      </c>
      <c r="I18">
        <v>25000</v>
      </c>
      <c r="J18">
        <f t="shared" si="0"/>
        <v>45000</v>
      </c>
      <c r="K18">
        <f t="shared" si="1"/>
        <v>25000</v>
      </c>
    </row>
    <row r="19" spans="1:11" x14ac:dyDescent="0.3">
      <c r="A19">
        <v>1018</v>
      </c>
      <c r="B19" s="1">
        <v>46079</v>
      </c>
      <c r="C19" t="s">
        <v>18</v>
      </c>
      <c r="D19" t="s">
        <v>32</v>
      </c>
      <c r="E19" t="s">
        <v>11</v>
      </c>
      <c r="F19" t="s">
        <v>24</v>
      </c>
      <c r="G19">
        <v>1</v>
      </c>
      <c r="H19">
        <v>180000</v>
      </c>
      <c r="I19">
        <v>110000</v>
      </c>
      <c r="J19">
        <f t="shared" si="0"/>
        <v>180000</v>
      </c>
      <c r="K19">
        <f t="shared" si="1"/>
        <v>110000</v>
      </c>
    </row>
    <row r="20" spans="1:11" x14ac:dyDescent="0.3">
      <c r="A20">
        <v>1019</v>
      </c>
      <c r="B20" s="1">
        <v>46119</v>
      </c>
      <c r="C20" t="s">
        <v>9</v>
      </c>
      <c r="D20" t="s">
        <v>32</v>
      </c>
      <c r="E20" t="s">
        <v>11</v>
      </c>
      <c r="F20" t="s">
        <v>20</v>
      </c>
      <c r="G20">
        <v>7</v>
      </c>
      <c r="H20">
        <v>180000</v>
      </c>
      <c r="I20">
        <v>110000</v>
      </c>
      <c r="J20">
        <f t="shared" si="0"/>
        <v>1260000</v>
      </c>
      <c r="K20">
        <f t="shared" si="1"/>
        <v>770000</v>
      </c>
    </row>
    <row r="21" spans="1:11" x14ac:dyDescent="0.3">
      <c r="A21">
        <v>1020</v>
      </c>
      <c r="B21" s="1">
        <v>46052</v>
      </c>
      <c r="C21" t="s">
        <v>27</v>
      </c>
      <c r="D21" t="s">
        <v>31</v>
      </c>
      <c r="E21" t="s">
        <v>14</v>
      </c>
      <c r="F21" t="s">
        <v>12</v>
      </c>
      <c r="G21">
        <v>1</v>
      </c>
      <c r="H21">
        <v>85000</v>
      </c>
      <c r="I21">
        <v>52000</v>
      </c>
      <c r="J21">
        <f t="shared" si="0"/>
        <v>85000</v>
      </c>
      <c r="K21">
        <f t="shared" si="1"/>
        <v>52000</v>
      </c>
    </row>
    <row r="22" spans="1:11" x14ac:dyDescent="0.3">
      <c r="A22">
        <v>1021</v>
      </c>
      <c r="B22" s="1">
        <v>46099</v>
      </c>
      <c r="C22" t="s">
        <v>30</v>
      </c>
      <c r="D22" t="s">
        <v>26</v>
      </c>
      <c r="E22" t="s">
        <v>14</v>
      </c>
      <c r="F22" t="s">
        <v>20</v>
      </c>
      <c r="G22">
        <v>1</v>
      </c>
      <c r="H22">
        <v>320000</v>
      </c>
      <c r="I22">
        <v>230000</v>
      </c>
      <c r="J22">
        <f t="shared" si="0"/>
        <v>320000</v>
      </c>
      <c r="K22">
        <f t="shared" si="1"/>
        <v>230000</v>
      </c>
    </row>
    <row r="23" spans="1:11" x14ac:dyDescent="0.3">
      <c r="A23">
        <v>1022</v>
      </c>
      <c r="B23" s="1">
        <v>46110</v>
      </c>
      <c r="C23" t="s">
        <v>33</v>
      </c>
      <c r="D23" t="s">
        <v>31</v>
      </c>
      <c r="E23" t="s">
        <v>14</v>
      </c>
      <c r="F23" t="s">
        <v>12</v>
      </c>
      <c r="G23">
        <v>7</v>
      </c>
      <c r="H23">
        <v>85000</v>
      </c>
      <c r="I23">
        <v>52000</v>
      </c>
      <c r="J23">
        <f t="shared" si="0"/>
        <v>595000</v>
      </c>
      <c r="K23">
        <f t="shared" si="1"/>
        <v>364000</v>
      </c>
    </row>
    <row r="24" spans="1:11" x14ac:dyDescent="0.3">
      <c r="A24">
        <v>1023</v>
      </c>
      <c r="B24" s="1">
        <v>46058</v>
      </c>
      <c r="D24" t="s">
        <v>23</v>
      </c>
      <c r="E24" t="s">
        <v>14</v>
      </c>
      <c r="F24" t="s">
        <v>20</v>
      </c>
      <c r="G24">
        <v>8</v>
      </c>
      <c r="H24">
        <v>120000</v>
      </c>
      <c r="I24">
        <v>70000</v>
      </c>
      <c r="J24">
        <f t="shared" si="0"/>
        <v>960000</v>
      </c>
      <c r="K24">
        <f t="shared" si="1"/>
        <v>560000</v>
      </c>
    </row>
    <row r="25" spans="1:11" x14ac:dyDescent="0.3">
      <c r="A25">
        <v>1024</v>
      </c>
      <c r="B25" s="1">
        <v>46043</v>
      </c>
      <c r="C25" t="s">
        <v>28</v>
      </c>
      <c r="D25" t="s">
        <v>26</v>
      </c>
      <c r="E25" t="s">
        <v>14</v>
      </c>
      <c r="F25" t="s">
        <v>17</v>
      </c>
      <c r="G25">
        <v>5</v>
      </c>
      <c r="H25">
        <v>320000</v>
      </c>
      <c r="I25">
        <v>230000</v>
      </c>
      <c r="J25">
        <f t="shared" si="0"/>
        <v>1600000</v>
      </c>
      <c r="K25">
        <f t="shared" si="1"/>
        <v>1150000</v>
      </c>
    </row>
    <row r="26" spans="1:11" x14ac:dyDescent="0.3">
      <c r="A26">
        <v>1025</v>
      </c>
      <c r="B26" s="1">
        <v>46031</v>
      </c>
      <c r="C26" t="s">
        <v>30</v>
      </c>
      <c r="D26" t="s">
        <v>26</v>
      </c>
      <c r="E26" t="s">
        <v>14</v>
      </c>
      <c r="F26" t="s">
        <v>24</v>
      </c>
      <c r="G26">
        <v>2</v>
      </c>
      <c r="H26">
        <v>320000</v>
      </c>
      <c r="I26">
        <v>230000</v>
      </c>
      <c r="J26">
        <f t="shared" si="0"/>
        <v>640000</v>
      </c>
      <c r="K26">
        <f t="shared" si="1"/>
        <v>460000</v>
      </c>
    </row>
    <row r="27" spans="1:11" x14ac:dyDescent="0.3">
      <c r="A27">
        <v>1026</v>
      </c>
      <c r="B27" s="1">
        <v>46062</v>
      </c>
      <c r="C27" t="s">
        <v>25</v>
      </c>
      <c r="D27" t="s">
        <v>19</v>
      </c>
      <c r="E27" t="s">
        <v>11</v>
      </c>
      <c r="F27" t="s">
        <v>17</v>
      </c>
      <c r="G27">
        <v>3</v>
      </c>
      <c r="H27">
        <v>75000</v>
      </c>
      <c r="I27">
        <v>42000</v>
      </c>
      <c r="J27">
        <f t="shared" si="0"/>
        <v>225000</v>
      </c>
      <c r="K27">
        <f t="shared" si="1"/>
        <v>126000</v>
      </c>
    </row>
    <row r="28" spans="1:11" x14ac:dyDescent="0.3">
      <c r="A28">
        <v>1027</v>
      </c>
      <c r="B28" s="1">
        <v>46071</v>
      </c>
      <c r="C28" t="s">
        <v>34</v>
      </c>
      <c r="D28" t="s">
        <v>13</v>
      </c>
      <c r="E28" t="s">
        <v>14</v>
      </c>
      <c r="F28" t="s">
        <v>20</v>
      </c>
      <c r="G28">
        <v>3</v>
      </c>
      <c r="H28">
        <v>850000</v>
      </c>
      <c r="I28">
        <v>650000</v>
      </c>
      <c r="J28">
        <f t="shared" si="0"/>
        <v>2550000</v>
      </c>
      <c r="K28">
        <f t="shared" si="1"/>
        <v>1950000</v>
      </c>
    </row>
    <row r="29" spans="1:11" x14ac:dyDescent="0.3">
      <c r="A29">
        <v>1028</v>
      </c>
      <c r="B29" s="1">
        <v>46191</v>
      </c>
      <c r="C29" t="s">
        <v>34</v>
      </c>
      <c r="D29" t="s">
        <v>26</v>
      </c>
      <c r="E29" t="s">
        <v>14</v>
      </c>
      <c r="F29" t="s">
        <v>24</v>
      </c>
      <c r="G29">
        <v>5</v>
      </c>
      <c r="H29">
        <v>320000</v>
      </c>
      <c r="I29">
        <v>230000</v>
      </c>
      <c r="J29">
        <f t="shared" si="0"/>
        <v>1600000</v>
      </c>
      <c r="K29">
        <f t="shared" si="1"/>
        <v>1150000</v>
      </c>
    </row>
    <row r="30" spans="1:11" x14ac:dyDescent="0.3">
      <c r="A30">
        <v>1029</v>
      </c>
      <c r="B30" s="1">
        <v>46116</v>
      </c>
      <c r="C30" t="s">
        <v>27</v>
      </c>
      <c r="D30" t="s">
        <v>13</v>
      </c>
      <c r="E30" t="s">
        <v>14</v>
      </c>
      <c r="F30" t="s">
        <v>17</v>
      </c>
      <c r="G30">
        <v>8</v>
      </c>
      <c r="H30">
        <v>850000</v>
      </c>
      <c r="I30">
        <v>650000</v>
      </c>
      <c r="J30">
        <f t="shared" si="0"/>
        <v>6800000</v>
      </c>
      <c r="K30">
        <f t="shared" si="1"/>
        <v>5200000</v>
      </c>
    </row>
    <row r="31" spans="1:11" x14ac:dyDescent="0.3">
      <c r="A31">
        <v>1030</v>
      </c>
      <c r="B31" s="1">
        <v>46181</v>
      </c>
      <c r="C31" t="s">
        <v>9</v>
      </c>
      <c r="D31" t="s">
        <v>13</v>
      </c>
      <c r="E31" t="s">
        <v>14</v>
      </c>
      <c r="F31" t="s">
        <v>24</v>
      </c>
      <c r="G31">
        <v>3</v>
      </c>
      <c r="H31">
        <v>850000</v>
      </c>
      <c r="I31">
        <v>650000</v>
      </c>
      <c r="J31">
        <f t="shared" si="0"/>
        <v>2550000</v>
      </c>
      <c r="K31">
        <f t="shared" si="1"/>
        <v>1950000</v>
      </c>
    </row>
    <row r="32" spans="1:11" x14ac:dyDescent="0.3">
      <c r="A32">
        <v>1031</v>
      </c>
      <c r="B32" s="1">
        <v>46133</v>
      </c>
      <c r="C32" t="s">
        <v>21</v>
      </c>
      <c r="D32" t="s">
        <v>19</v>
      </c>
      <c r="E32" t="s">
        <v>11</v>
      </c>
      <c r="F32" t="s">
        <v>12</v>
      </c>
      <c r="G32">
        <v>2</v>
      </c>
      <c r="H32">
        <v>75000</v>
      </c>
      <c r="I32">
        <v>42000</v>
      </c>
      <c r="J32">
        <f t="shared" si="0"/>
        <v>150000</v>
      </c>
      <c r="K32">
        <f t="shared" si="1"/>
        <v>84000</v>
      </c>
    </row>
    <row r="33" spans="1:11" x14ac:dyDescent="0.3">
      <c r="A33">
        <v>1032</v>
      </c>
      <c r="B33" s="1">
        <v>46177</v>
      </c>
      <c r="C33" t="s">
        <v>30</v>
      </c>
      <c r="D33" t="s">
        <v>16</v>
      </c>
      <c r="E33" t="s">
        <v>14</v>
      </c>
      <c r="F33" t="s">
        <v>20</v>
      </c>
      <c r="G33">
        <v>8</v>
      </c>
      <c r="H33">
        <v>45000</v>
      </c>
      <c r="I33">
        <v>25000</v>
      </c>
      <c r="J33">
        <f t="shared" si="0"/>
        <v>360000</v>
      </c>
      <c r="K33">
        <f t="shared" si="1"/>
        <v>200000</v>
      </c>
    </row>
    <row r="34" spans="1:11" x14ac:dyDescent="0.3">
      <c r="A34">
        <v>1033</v>
      </c>
      <c r="B34" s="1">
        <v>46062</v>
      </c>
      <c r="C34" t="s">
        <v>21</v>
      </c>
      <c r="D34" t="s">
        <v>23</v>
      </c>
      <c r="E34" t="s">
        <v>14</v>
      </c>
      <c r="F34" t="s">
        <v>20</v>
      </c>
      <c r="G34">
        <v>2</v>
      </c>
      <c r="H34">
        <v>120000</v>
      </c>
      <c r="I34">
        <v>70000</v>
      </c>
      <c r="J34">
        <f t="shared" ref="J34:J61" si="2">G34*H34</f>
        <v>240000</v>
      </c>
      <c r="K34">
        <f t="shared" ref="K34:K61" si="3">G34*I34</f>
        <v>140000</v>
      </c>
    </row>
    <row r="35" spans="1:11" x14ac:dyDescent="0.3">
      <c r="A35">
        <v>1034</v>
      </c>
      <c r="B35" s="1">
        <v>46188</v>
      </c>
      <c r="C35" t="s">
        <v>22</v>
      </c>
      <c r="D35" t="s">
        <v>31</v>
      </c>
      <c r="E35" t="s">
        <v>14</v>
      </c>
      <c r="F35" t="s">
        <v>17</v>
      </c>
      <c r="G35">
        <v>8</v>
      </c>
      <c r="H35">
        <v>85000</v>
      </c>
      <c r="I35">
        <v>52000</v>
      </c>
      <c r="J35">
        <f t="shared" si="2"/>
        <v>680000</v>
      </c>
      <c r="K35">
        <f t="shared" si="3"/>
        <v>416000</v>
      </c>
    </row>
    <row r="36" spans="1:11" x14ac:dyDescent="0.3">
      <c r="A36">
        <v>1035</v>
      </c>
      <c r="B36" s="1">
        <v>46143</v>
      </c>
      <c r="C36" t="s">
        <v>35</v>
      </c>
      <c r="D36" t="s">
        <v>23</v>
      </c>
      <c r="E36" t="s">
        <v>14</v>
      </c>
      <c r="F36" t="s">
        <v>12</v>
      </c>
      <c r="G36">
        <v>6</v>
      </c>
      <c r="H36">
        <v>120000</v>
      </c>
      <c r="I36">
        <v>70000</v>
      </c>
      <c r="J36">
        <f t="shared" si="2"/>
        <v>720000</v>
      </c>
      <c r="K36">
        <f t="shared" si="3"/>
        <v>420000</v>
      </c>
    </row>
    <row r="37" spans="1:11" x14ac:dyDescent="0.3">
      <c r="A37">
        <v>1036</v>
      </c>
      <c r="B37" s="1">
        <v>46036</v>
      </c>
      <c r="C37" t="s">
        <v>35</v>
      </c>
      <c r="D37" t="s">
        <v>16</v>
      </c>
      <c r="E37" t="s">
        <v>14</v>
      </c>
      <c r="F37" t="s">
        <v>17</v>
      </c>
      <c r="G37">
        <v>1</v>
      </c>
      <c r="H37">
        <v>45000</v>
      </c>
      <c r="I37">
        <v>25000</v>
      </c>
      <c r="J37">
        <f t="shared" si="2"/>
        <v>45000</v>
      </c>
      <c r="K37">
        <f t="shared" si="3"/>
        <v>25000</v>
      </c>
    </row>
    <row r="38" spans="1:11" x14ac:dyDescent="0.3">
      <c r="A38">
        <v>1037</v>
      </c>
      <c r="B38" s="1">
        <v>46050</v>
      </c>
      <c r="C38" t="s">
        <v>28</v>
      </c>
      <c r="D38" t="s">
        <v>16</v>
      </c>
      <c r="E38" t="s">
        <v>14</v>
      </c>
      <c r="F38" t="s">
        <v>17</v>
      </c>
      <c r="G38">
        <v>1</v>
      </c>
      <c r="H38">
        <v>45000</v>
      </c>
      <c r="I38">
        <v>25000</v>
      </c>
      <c r="J38">
        <f t="shared" si="2"/>
        <v>45000</v>
      </c>
      <c r="K38">
        <f t="shared" si="3"/>
        <v>25000</v>
      </c>
    </row>
    <row r="39" spans="1:11" x14ac:dyDescent="0.3">
      <c r="A39">
        <v>1038</v>
      </c>
      <c r="B39" s="1">
        <v>46190</v>
      </c>
      <c r="C39" t="s">
        <v>22</v>
      </c>
      <c r="D39" t="s">
        <v>10</v>
      </c>
      <c r="E39" t="s">
        <v>11</v>
      </c>
      <c r="F39" t="s">
        <v>17</v>
      </c>
      <c r="G39">
        <v>7</v>
      </c>
      <c r="H39">
        <v>290000</v>
      </c>
      <c r="I39">
        <v>185000</v>
      </c>
      <c r="J39">
        <f t="shared" si="2"/>
        <v>2030000</v>
      </c>
      <c r="K39">
        <f t="shared" si="3"/>
        <v>1295000</v>
      </c>
    </row>
    <row r="40" spans="1:11" x14ac:dyDescent="0.3">
      <c r="A40">
        <v>1039</v>
      </c>
      <c r="B40" s="1">
        <v>46176</v>
      </c>
      <c r="C40" t="s">
        <v>34</v>
      </c>
      <c r="D40" t="s">
        <v>16</v>
      </c>
      <c r="E40" t="s">
        <v>14</v>
      </c>
      <c r="F40" t="s">
        <v>20</v>
      </c>
      <c r="G40">
        <v>4</v>
      </c>
      <c r="H40">
        <v>45000</v>
      </c>
      <c r="I40">
        <v>25000</v>
      </c>
      <c r="J40">
        <f t="shared" si="2"/>
        <v>180000</v>
      </c>
      <c r="K40">
        <f t="shared" si="3"/>
        <v>100000</v>
      </c>
    </row>
    <row r="41" spans="1:11" x14ac:dyDescent="0.3">
      <c r="A41">
        <v>1040</v>
      </c>
      <c r="B41" s="1">
        <v>46156</v>
      </c>
      <c r="C41" t="s">
        <v>29</v>
      </c>
      <c r="D41" t="s">
        <v>16</v>
      </c>
      <c r="E41" t="s">
        <v>14</v>
      </c>
      <c r="F41" t="s">
        <v>24</v>
      </c>
      <c r="G41">
        <v>1</v>
      </c>
      <c r="H41">
        <v>45000</v>
      </c>
      <c r="I41">
        <v>25000</v>
      </c>
      <c r="J41">
        <f t="shared" si="2"/>
        <v>45000</v>
      </c>
      <c r="K41">
        <f t="shared" si="3"/>
        <v>25000</v>
      </c>
    </row>
    <row r="42" spans="1:11" x14ac:dyDescent="0.3">
      <c r="A42">
        <v>1041</v>
      </c>
      <c r="B42" s="1">
        <v>46043</v>
      </c>
      <c r="C42" t="s">
        <v>27</v>
      </c>
      <c r="D42" t="s">
        <v>10</v>
      </c>
      <c r="E42" t="s">
        <v>11</v>
      </c>
      <c r="F42" t="s">
        <v>24</v>
      </c>
      <c r="G42">
        <v>7</v>
      </c>
      <c r="H42">
        <v>290000</v>
      </c>
      <c r="I42">
        <v>185000</v>
      </c>
      <c r="J42">
        <f t="shared" si="2"/>
        <v>2030000</v>
      </c>
      <c r="K42">
        <f t="shared" si="3"/>
        <v>1295000</v>
      </c>
    </row>
    <row r="43" spans="1:11" x14ac:dyDescent="0.3">
      <c r="A43">
        <v>1042</v>
      </c>
      <c r="B43" s="1">
        <v>46043</v>
      </c>
      <c r="C43" t="s">
        <v>30</v>
      </c>
      <c r="D43" t="s">
        <v>23</v>
      </c>
      <c r="E43" t="s">
        <v>14</v>
      </c>
      <c r="G43">
        <v>6</v>
      </c>
      <c r="H43">
        <v>120000</v>
      </c>
      <c r="I43">
        <v>70000</v>
      </c>
      <c r="J43">
        <f t="shared" si="2"/>
        <v>720000</v>
      </c>
      <c r="K43">
        <f t="shared" si="3"/>
        <v>420000</v>
      </c>
    </row>
    <row r="44" spans="1:11" x14ac:dyDescent="0.3">
      <c r="A44">
        <v>1043</v>
      </c>
      <c r="B44" s="1">
        <v>46155</v>
      </c>
      <c r="C44" t="s">
        <v>30</v>
      </c>
      <c r="D44" t="s">
        <v>32</v>
      </c>
      <c r="E44" t="s">
        <v>11</v>
      </c>
      <c r="F44" t="s">
        <v>24</v>
      </c>
      <c r="G44">
        <v>6</v>
      </c>
      <c r="H44">
        <v>180000</v>
      </c>
      <c r="I44">
        <v>110000</v>
      </c>
      <c r="J44">
        <f t="shared" si="2"/>
        <v>1080000</v>
      </c>
      <c r="K44">
        <f t="shared" si="3"/>
        <v>660000</v>
      </c>
    </row>
    <row r="45" spans="1:11" x14ac:dyDescent="0.3">
      <c r="A45">
        <v>1044</v>
      </c>
      <c r="B45" s="1">
        <v>46189</v>
      </c>
      <c r="C45" t="s">
        <v>35</v>
      </c>
      <c r="D45" t="s">
        <v>26</v>
      </c>
      <c r="E45" t="s">
        <v>14</v>
      </c>
      <c r="F45" t="s">
        <v>24</v>
      </c>
      <c r="G45">
        <v>4</v>
      </c>
      <c r="H45">
        <v>320000</v>
      </c>
      <c r="I45">
        <v>230000</v>
      </c>
      <c r="J45">
        <f t="shared" si="2"/>
        <v>1280000</v>
      </c>
      <c r="K45">
        <f t="shared" si="3"/>
        <v>920000</v>
      </c>
    </row>
    <row r="46" spans="1:11" x14ac:dyDescent="0.3">
      <c r="A46">
        <v>1045</v>
      </c>
      <c r="B46" s="1">
        <v>46119</v>
      </c>
      <c r="C46" t="s">
        <v>29</v>
      </c>
      <c r="D46" t="s">
        <v>32</v>
      </c>
      <c r="E46" t="s">
        <v>11</v>
      </c>
      <c r="F46" t="s">
        <v>20</v>
      </c>
      <c r="G46">
        <v>4</v>
      </c>
      <c r="H46">
        <v>180000</v>
      </c>
      <c r="I46">
        <v>110000</v>
      </c>
      <c r="J46">
        <f t="shared" si="2"/>
        <v>720000</v>
      </c>
      <c r="K46">
        <f t="shared" si="3"/>
        <v>440000</v>
      </c>
    </row>
    <row r="47" spans="1:11" x14ac:dyDescent="0.3">
      <c r="A47">
        <v>1046</v>
      </c>
      <c r="B47" s="1">
        <v>46179</v>
      </c>
      <c r="C47" t="s">
        <v>36</v>
      </c>
      <c r="D47" t="s">
        <v>23</v>
      </c>
      <c r="E47" t="s">
        <v>14</v>
      </c>
      <c r="F47" t="s">
        <v>24</v>
      </c>
      <c r="G47">
        <v>6</v>
      </c>
      <c r="H47">
        <v>120000</v>
      </c>
      <c r="I47">
        <v>70000</v>
      </c>
      <c r="J47">
        <f t="shared" si="2"/>
        <v>720000</v>
      </c>
      <c r="K47">
        <f t="shared" si="3"/>
        <v>420000</v>
      </c>
    </row>
    <row r="48" spans="1:11" x14ac:dyDescent="0.3">
      <c r="A48">
        <v>1047</v>
      </c>
      <c r="B48" s="1">
        <v>46195</v>
      </c>
      <c r="C48" t="s">
        <v>35</v>
      </c>
      <c r="D48" t="s">
        <v>23</v>
      </c>
      <c r="E48" t="s">
        <v>14</v>
      </c>
      <c r="F48" t="s">
        <v>17</v>
      </c>
      <c r="G48">
        <v>4</v>
      </c>
      <c r="H48">
        <v>120000</v>
      </c>
      <c r="I48">
        <v>70000</v>
      </c>
      <c r="J48">
        <f t="shared" si="2"/>
        <v>480000</v>
      </c>
      <c r="K48">
        <f t="shared" si="3"/>
        <v>280000</v>
      </c>
    </row>
    <row r="49" spans="1:11" x14ac:dyDescent="0.3">
      <c r="A49">
        <v>1048</v>
      </c>
      <c r="B49" s="1">
        <v>46091</v>
      </c>
      <c r="C49" t="s">
        <v>35</v>
      </c>
      <c r="D49" t="s">
        <v>31</v>
      </c>
      <c r="E49" t="s">
        <v>14</v>
      </c>
      <c r="F49" t="s">
        <v>24</v>
      </c>
      <c r="G49">
        <v>2</v>
      </c>
      <c r="H49">
        <v>85000</v>
      </c>
      <c r="I49">
        <v>52000</v>
      </c>
      <c r="J49">
        <f t="shared" si="2"/>
        <v>170000</v>
      </c>
      <c r="K49">
        <f t="shared" si="3"/>
        <v>104000</v>
      </c>
    </row>
    <row r="50" spans="1:11" x14ac:dyDescent="0.3">
      <c r="A50">
        <v>1049</v>
      </c>
      <c r="B50" s="1">
        <v>46130</v>
      </c>
      <c r="C50" t="s">
        <v>29</v>
      </c>
      <c r="D50" t="s">
        <v>26</v>
      </c>
      <c r="E50" t="s">
        <v>14</v>
      </c>
      <c r="F50" t="s">
        <v>24</v>
      </c>
      <c r="G50">
        <v>5</v>
      </c>
      <c r="H50">
        <v>320000</v>
      </c>
      <c r="I50">
        <v>230000</v>
      </c>
      <c r="J50">
        <f t="shared" si="2"/>
        <v>1600000</v>
      </c>
      <c r="K50">
        <f t="shared" si="3"/>
        <v>1150000</v>
      </c>
    </row>
    <row r="51" spans="1:11" x14ac:dyDescent="0.3">
      <c r="A51">
        <v>1050</v>
      </c>
      <c r="B51" s="1">
        <v>46152</v>
      </c>
      <c r="C51" t="s">
        <v>33</v>
      </c>
      <c r="D51" t="s">
        <v>32</v>
      </c>
      <c r="E51" t="s">
        <v>11</v>
      </c>
      <c r="F51" t="s">
        <v>20</v>
      </c>
      <c r="G51">
        <v>5</v>
      </c>
      <c r="H51">
        <v>180000</v>
      </c>
      <c r="I51">
        <v>110000</v>
      </c>
      <c r="J51">
        <f t="shared" si="2"/>
        <v>900000</v>
      </c>
      <c r="K51">
        <f t="shared" si="3"/>
        <v>550000</v>
      </c>
    </row>
    <row r="52" spans="1:11" x14ac:dyDescent="0.3">
      <c r="A52">
        <v>1051</v>
      </c>
      <c r="B52" s="1">
        <v>46085</v>
      </c>
      <c r="D52" t="s">
        <v>10</v>
      </c>
      <c r="E52" t="s">
        <v>11</v>
      </c>
      <c r="F52" t="s">
        <v>20</v>
      </c>
      <c r="G52">
        <v>4</v>
      </c>
      <c r="H52">
        <v>290000</v>
      </c>
      <c r="I52">
        <v>185000</v>
      </c>
      <c r="J52">
        <f t="shared" si="2"/>
        <v>1160000</v>
      </c>
      <c r="K52">
        <f t="shared" si="3"/>
        <v>740000</v>
      </c>
    </row>
    <row r="53" spans="1:11" x14ac:dyDescent="0.3">
      <c r="A53">
        <v>1052</v>
      </c>
      <c r="B53" s="1">
        <v>46086</v>
      </c>
      <c r="C53" t="s">
        <v>34</v>
      </c>
      <c r="D53" t="s">
        <v>16</v>
      </c>
      <c r="E53" t="s">
        <v>14</v>
      </c>
      <c r="F53" t="s">
        <v>20</v>
      </c>
      <c r="G53">
        <v>4</v>
      </c>
      <c r="H53">
        <v>45000</v>
      </c>
      <c r="I53">
        <v>25000</v>
      </c>
      <c r="J53">
        <f t="shared" si="2"/>
        <v>180000</v>
      </c>
      <c r="K53">
        <f t="shared" si="3"/>
        <v>100000</v>
      </c>
    </row>
    <row r="54" spans="1:11" x14ac:dyDescent="0.3">
      <c r="A54">
        <v>1053</v>
      </c>
      <c r="B54" s="1">
        <v>46050</v>
      </c>
      <c r="C54" t="s">
        <v>21</v>
      </c>
      <c r="D54" t="s">
        <v>26</v>
      </c>
      <c r="E54" t="s">
        <v>14</v>
      </c>
      <c r="F54" t="s">
        <v>12</v>
      </c>
      <c r="G54">
        <v>7</v>
      </c>
      <c r="H54">
        <v>320000</v>
      </c>
      <c r="I54">
        <v>230000</v>
      </c>
      <c r="J54">
        <f t="shared" si="2"/>
        <v>2240000</v>
      </c>
      <c r="K54">
        <f t="shared" si="3"/>
        <v>1610000</v>
      </c>
    </row>
    <row r="55" spans="1:11" x14ac:dyDescent="0.3">
      <c r="A55">
        <v>1054</v>
      </c>
      <c r="B55" s="1">
        <v>46168</v>
      </c>
      <c r="C55" t="s">
        <v>30</v>
      </c>
      <c r="D55" t="s">
        <v>23</v>
      </c>
      <c r="E55" t="s">
        <v>14</v>
      </c>
      <c r="F55" t="s">
        <v>12</v>
      </c>
      <c r="G55">
        <v>1</v>
      </c>
      <c r="H55">
        <v>120000</v>
      </c>
      <c r="I55">
        <v>70000</v>
      </c>
      <c r="J55">
        <f t="shared" si="2"/>
        <v>120000</v>
      </c>
      <c r="K55">
        <f t="shared" si="3"/>
        <v>70000</v>
      </c>
    </row>
    <row r="56" spans="1:11" x14ac:dyDescent="0.3">
      <c r="A56">
        <v>1055</v>
      </c>
      <c r="B56" s="1">
        <v>46028</v>
      </c>
      <c r="C56" t="s">
        <v>21</v>
      </c>
      <c r="D56" t="s">
        <v>16</v>
      </c>
      <c r="E56" t="s">
        <v>14</v>
      </c>
      <c r="F56" t="s">
        <v>17</v>
      </c>
      <c r="G56">
        <v>5</v>
      </c>
      <c r="H56">
        <v>45000</v>
      </c>
      <c r="I56">
        <v>25000</v>
      </c>
      <c r="J56">
        <f t="shared" si="2"/>
        <v>225000</v>
      </c>
      <c r="K56">
        <f t="shared" si="3"/>
        <v>125000</v>
      </c>
    </row>
    <row r="57" spans="1:11" x14ac:dyDescent="0.3">
      <c r="A57">
        <v>1056</v>
      </c>
      <c r="B57" s="1">
        <v>46141</v>
      </c>
      <c r="C57" t="s">
        <v>33</v>
      </c>
      <c r="D57" t="s">
        <v>19</v>
      </c>
      <c r="E57" t="s">
        <v>11</v>
      </c>
      <c r="F57" t="s">
        <v>17</v>
      </c>
      <c r="G57">
        <v>5</v>
      </c>
      <c r="H57">
        <v>75000</v>
      </c>
      <c r="I57">
        <v>42000</v>
      </c>
      <c r="J57">
        <f t="shared" si="2"/>
        <v>375000</v>
      </c>
      <c r="K57">
        <f t="shared" si="3"/>
        <v>210000</v>
      </c>
    </row>
    <row r="58" spans="1:11" x14ac:dyDescent="0.3">
      <c r="A58">
        <v>1057</v>
      </c>
      <c r="B58" s="1">
        <v>46055</v>
      </c>
      <c r="C58" t="s">
        <v>34</v>
      </c>
      <c r="D58" t="s">
        <v>10</v>
      </c>
      <c r="E58" t="s">
        <v>11</v>
      </c>
      <c r="F58" t="s">
        <v>17</v>
      </c>
      <c r="G58">
        <v>2</v>
      </c>
      <c r="H58">
        <v>290000</v>
      </c>
      <c r="I58">
        <v>185000</v>
      </c>
      <c r="J58">
        <f t="shared" si="2"/>
        <v>580000</v>
      </c>
      <c r="K58">
        <f t="shared" si="3"/>
        <v>370000</v>
      </c>
    </row>
    <row r="59" spans="1:11" x14ac:dyDescent="0.3">
      <c r="A59">
        <v>1058</v>
      </c>
      <c r="B59" s="1">
        <v>46044</v>
      </c>
      <c r="C59" t="s">
        <v>36</v>
      </c>
      <c r="D59" t="s">
        <v>31</v>
      </c>
      <c r="E59" t="s">
        <v>14</v>
      </c>
      <c r="F59" t="s">
        <v>17</v>
      </c>
      <c r="G59">
        <v>6</v>
      </c>
      <c r="H59">
        <v>85000</v>
      </c>
      <c r="I59">
        <v>52000</v>
      </c>
      <c r="J59">
        <f t="shared" si="2"/>
        <v>510000</v>
      </c>
      <c r="K59">
        <f t="shared" si="3"/>
        <v>312000</v>
      </c>
    </row>
    <row r="60" spans="1:11" x14ac:dyDescent="0.3">
      <c r="A60">
        <v>1059</v>
      </c>
      <c r="B60" s="1">
        <v>46082</v>
      </c>
      <c r="C60" t="s">
        <v>27</v>
      </c>
      <c r="D60" t="s">
        <v>13</v>
      </c>
      <c r="E60" t="s">
        <v>14</v>
      </c>
      <c r="F60" t="s">
        <v>24</v>
      </c>
      <c r="G60">
        <v>6</v>
      </c>
      <c r="H60">
        <v>850000</v>
      </c>
      <c r="I60">
        <v>650000</v>
      </c>
      <c r="J60">
        <f t="shared" si="2"/>
        <v>5100000</v>
      </c>
      <c r="K60">
        <f t="shared" si="3"/>
        <v>3900000</v>
      </c>
    </row>
    <row r="61" spans="1:11" x14ac:dyDescent="0.3">
      <c r="A61">
        <v>1060</v>
      </c>
      <c r="B61" s="1">
        <v>46114</v>
      </c>
      <c r="C61" t="s">
        <v>22</v>
      </c>
      <c r="D61" t="s">
        <v>10</v>
      </c>
      <c r="E61" t="s">
        <v>11</v>
      </c>
      <c r="F61" t="s">
        <v>17</v>
      </c>
      <c r="G61">
        <v>2</v>
      </c>
      <c r="H61">
        <v>290000</v>
      </c>
      <c r="I61">
        <v>185000</v>
      </c>
      <c r="J61">
        <f t="shared" si="2"/>
        <v>580000</v>
      </c>
      <c r="K61">
        <f t="shared" si="3"/>
        <v>370000</v>
      </c>
    </row>
  </sheetData>
  <scenarios current="0" sqref="K5">
    <scenario name="Pesimista" locked="1" count="1" user="Omar Bau Nadia" comment="Creado por Omar Bau Nadia el 26/9/2026">
      <inputCells r="M2" val="250000"/>
    </scenario>
    <scenario name="BASE" locked="1" count="1" user="Omar Bau Nadia" comment="Creado por Omar Bau Nadia el 26/9/2026">
      <inputCells r="M2" val="290000"/>
    </scenario>
    <scenario name="Optimista" locked="1" count="1" user="Omar Bau Nadia" comment="Creado por Omar Bau Nadia el 26/9/2026">
      <inputCells r="M2" val="330000"/>
    </scenario>
  </scenario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6806-0A83-4FC4-B481-32475CAC481F}">
  <dimension ref="A1:P82"/>
  <sheetViews>
    <sheetView showGridLines="0" topLeftCell="A59" zoomScaleNormal="100" workbookViewId="0">
      <selection activeCell="P13" sqref="P13"/>
    </sheetView>
  </sheetViews>
  <sheetFormatPr baseColWidth="10" defaultRowHeight="14.4" x14ac:dyDescent="0.3"/>
  <cols>
    <col min="1" max="1" width="16.5546875" style="42" bestFit="1" customWidth="1"/>
    <col min="2" max="2" width="22.88671875" style="42" customWidth="1"/>
    <col min="3" max="3" width="11.5546875" style="42"/>
    <col min="4" max="4" width="3.5546875" style="42" customWidth="1"/>
    <col min="5" max="8" width="11.5546875" style="42"/>
    <col min="9" max="9" width="4.5546875" style="42" customWidth="1"/>
    <col min="10" max="10" width="11.5546875" style="42"/>
    <col min="11" max="11" width="20" style="42" customWidth="1"/>
    <col min="12" max="12" width="16.5546875" style="42" bestFit="1" customWidth="1"/>
    <col min="13" max="13" width="16.33203125" style="42" bestFit="1" customWidth="1"/>
    <col min="14" max="16384" width="11.5546875" style="42"/>
  </cols>
  <sheetData>
    <row r="1" spans="1:16" ht="14.4" customHeight="1" x14ac:dyDescent="0.3">
      <c r="A1" s="46" t="s">
        <v>101</v>
      </c>
      <c r="B1" s="46"/>
      <c r="C1" s="46"/>
      <c r="D1" s="46"/>
      <c r="E1" s="46"/>
      <c r="F1" s="46"/>
      <c r="G1" s="46"/>
      <c r="H1" s="46"/>
      <c r="I1" s="46"/>
      <c r="J1" s="46"/>
      <c r="K1" s="46"/>
      <c r="L1" s="46"/>
      <c r="M1" s="46"/>
      <c r="N1" s="48"/>
      <c r="O1" s="49" t="s">
        <v>102</v>
      </c>
      <c r="P1" s="48"/>
    </row>
    <row r="2" spans="1:16" ht="14.4" customHeight="1" x14ac:dyDescent="0.3">
      <c r="A2" s="46"/>
      <c r="B2" s="46"/>
      <c r="C2" s="46"/>
      <c r="D2" s="46"/>
      <c r="E2" s="46"/>
      <c r="F2" s="46"/>
      <c r="G2" s="46"/>
      <c r="H2" s="46"/>
      <c r="I2" s="46"/>
      <c r="J2" s="46"/>
      <c r="K2" s="46"/>
      <c r="L2" s="46"/>
      <c r="M2" s="46"/>
      <c r="N2" s="48"/>
      <c r="O2" s="50" t="s">
        <v>103</v>
      </c>
      <c r="P2" s="48"/>
    </row>
    <row r="3" spans="1:16" ht="14.4" customHeight="1" x14ac:dyDescent="0.3">
      <c r="A3" s="47" t="s">
        <v>100</v>
      </c>
      <c r="B3" s="47"/>
      <c r="C3" s="47"/>
      <c r="D3" s="47"/>
      <c r="E3" s="47"/>
      <c r="F3" s="47"/>
      <c r="G3" s="47"/>
      <c r="H3" s="47"/>
      <c r="I3" s="47"/>
      <c r="J3" s="47"/>
      <c r="K3" s="47"/>
      <c r="L3" s="47"/>
      <c r="M3" s="47"/>
      <c r="N3" s="47"/>
      <c r="O3" s="47"/>
      <c r="P3" s="47"/>
    </row>
    <row r="4" spans="1:16" ht="14.4" customHeight="1" x14ac:dyDescent="0.3">
      <c r="A4" s="47"/>
      <c r="B4" s="47"/>
      <c r="C4" s="47"/>
      <c r="D4" s="47"/>
      <c r="E4" s="47"/>
      <c r="F4" s="47"/>
      <c r="G4" s="47"/>
      <c r="H4" s="47"/>
      <c r="I4" s="47"/>
      <c r="J4" s="47"/>
      <c r="K4" s="47"/>
      <c r="L4" s="47"/>
      <c r="M4" s="47"/>
      <c r="N4" s="47"/>
      <c r="O4" s="47"/>
      <c r="P4" s="47"/>
    </row>
    <row r="5" spans="1:16" ht="14.4" customHeight="1" x14ac:dyDescent="0.3">
      <c r="A5" s="51"/>
      <c r="B5" s="51"/>
      <c r="C5" s="51"/>
      <c r="D5" s="51"/>
      <c r="E5" s="51"/>
      <c r="F5" s="51"/>
      <c r="G5" s="51"/>
      <c r="H5" s="51"/>
      <c r="I5" s="51"/>
      <c r="J5" s="51"/>
      <c r="K5" s="51"/>
      <c r="L5" s="51"/>
      <c r="M5" s="51"/>
      <c r="N5" s="51"/>
      <c r="O5" s="51"/>
      <c r="P5" s="51"/>
    </row>
    <row r="6" spans="1:16" ht="15.6" x14ac:dyDescent="0.3">
      <c r="A6" s="52"/>
      <c r="B6" s="52"/>
      <c r="C6" s="52"/>
      <c r="D6" s="43"/>
      <c r="E6" s="52"/>
      <c r="F6" s="52"/>
      <c r="G6" s="52"/>
      <c r="H6" s="52"/>
      <c r="I6" s="43"/>
      <c r="J6" s="52"/>
      <c r="K6" s="52"/>
      <c r="L6" s="52"/>
      <c r="M6" s="43"/>
      <c r="N6" s="43"/>
      <c r="O6" s="43"/>
      <c r="P6" s="43"/>
    </row>
    <row r="7" spans="1:16" ht="18" x14ac:dyDescent="0.35">
      <c r="A7" s="56" t="s">
        <v>78</v>
      </c>
      <c r="B7" s="56"/>
      <c r="C7" s="56"/>
      <c r="D7" s="57"/>
      <c r="E7" s="58" t="s">
        <v>104</v>
      </c>
      <c r="F7" s="59"/>
      <c r="G7" s="58"/>
      <c r="H7" s="58"/>
      <c r="I7" s="61"/>
      <c r="J7" s="56" t="s">
        <v>79</v>
      </c>
      <c r="K7" s="56"/>
      <c r="L7" s="56"/>
      <c r="M7" s="57"/>
    </row>
    <row r="8" spans="1:16" x14ac:dyDescent="0.3">
      <c r="A8" s="53"/>
      <c r="B8" s="53"/>
      <c r="C8" s="53"/>
      <c r="E8" s="53"/>
      <c r="F8" s="53"/>
      <c r="G8" s="53"/>
      <c r="H8" s="53"/>
      <c r="J8" s="53"/>
      <c r="K8" s="53"/>
      <c r="L8" s="53"/>
    </row>
    <row r="9" spans="1:16" ht="25.8" x14ac:dyDescent="0.5">
      <c r="A9" s="53"/>
      <c r="B9" s="55">
        <f>SUMPRODUCT(Tabla2[Cantidad],Tabla2[Precio])</f>
        <v>71580000</v>
      </c>
      <c r="C9" s="53"/>
      <c r="E9" s="54"/>
      <c r="F9" s="60">
        <f>SUM(Tabla2[Cantidad])</f>
        <v>272</v>
      </c>
      <c r="G9" s="60"/>
      <c r="H9" s="54"/>
      <c r="I9" s="44"/>
      <c r="J9" s="53"/>
      <c r="K9" s="64">
        <f>B9/F9</f>
        <v>263161.76470588235</v>
      </c>
      <c r="L9" s="62"/>
      <c r="M9" s="63"/>
    </row>
    <row r="10" spans="1:16" x14ac:dyDescent="0.3">
      <c r="A10" s="53"/>
      <c r="B10" s="77" t="s">
        <v>125</v>
      </c>
      <c r="C10" s="53"/>
      <c r="E10" s="53"/>
      <c r="F10" s="77" t="s">
        <v>126</v>
      </c>
      <c r="G10" s="53"/>
      <c r="H10" s="53"/>
      <c r="J10" s="53"/>
      <c r="K10" s="53" t="s">
        <v>127</v>
      </c>
      <c r="L10" s="53"/>
    </row>
    <row r="13" spans="1:16" x14ac:dyDescent="0.3">
      <c r="A13" s="42" t="s">
        <v>37</v>
      </c>
      <c r="B13" s="42" t="s">
        <v>39</v>
      </c>
    </row>
    <row r="14" spans="1:16" x14ac:dyDescent="0.3">
      <c r="A14" s="45" t="s">
        <v>11</v>
      </c>
      <c r="B14" s="73">
        <v>86</v>
      </c>
    </row>
    <row r="15" spans="1:16" x14ac:dyDescent="0.3">
      <c r="A15" s="45" t="s">
        <v>14</v>
      </c>
      <c r="B15" s="73">
        <v>186</v>
      </c>
    </row>
    <row r="16" spans="1:16" x14ac:dyDescent="0.3">
      <c r="A16" s="45" t="s">
        <v>38</v>
      </c>
      <c r="B16" s="73">
        <v>272</v>
      </c>
    </row>
    <row r="31" spans="1:2" x14ac:dyDescent="0.3">
      <c r="A31" s="42" t="s">
        <v>37</v>
      </c>
      <c r="B31" s="42" t="s">
        <v>39</v>
      </c>
    </row>
    <row r="32" spans="1:2" x14ac:dyDescent="0.3">
      <c r="A32" s="45" t="s">
        <v>12</v>
      </c>
      <c r="B32" s="73">
        <v>43</v>
      </c>
    </row>
    <row r="33" spans="1:2" x14ac:dyDescent="0.3">
      <c r="A33" s="45" t="s">
        <v>17</v>
      </c>
      <c r="B33" s="73">
        <v>76</v>
      </c>
    </row>
    <row r="34" spans="1:2" x14ac:dyDescent="0.3">
      <c r="A34" s="45" t="s">
        <v>20</v>
      </c>
      <c r="B34" s="73">
        <v>83</v>
      </c>
    </row>
    <row r="35" spans="1:2" x14ac:dyDescent="0.3">
      <c r="A35" s="45" t="s">
        <v>24</v>
      </c>
      <c r="B35" s="73">
        <v>63</v>
      </c>
    </row>
    <row r="36" spans="1:2" x14ac:dyDescent="0.3">
      <c r="A36" s="45" t="s">
        <v>80</v>
      </c>
      <c r="B36" s="73">
        <v>7</v>
      </c>
    </row>
    <row r="37" spans="1:2" x14ac:dyDescent="0.3">
      <c r="A37" s="45" t="s">
        <v>38</v>
      </c>
      <c r="B37" s="73">
        <v>272</v>
      </c>
    </row>
    <row r="66" spans="1:14" x14ac:dyDescent="0.3">
      <c r="A66" s="30"/>
      <c r="B66" s="30"/>
      <c r="C66" s="30"/>
      <c r="D66" s="30"/>
      <c r="E66" s="30"/>
      <c r="F66" s="30"/>
      <c r="G66" s="30"/>
      <c r="H66" s="30"/>
      <c r="I66" s="30"/>
      <c r="J66" s="30"/>
      <c r="K66" s="30"/>
      <c r="L66" s="30"/>
      <c r="M66" s="30"/>
      <c r="N66" s="30"/>
    </row>
    <row r="67" spans="1:14" ht="18" x14ac:dyDescent="0.35">
      <c r="A67" s="30"/>
      <c r="B67" s="65" t="s">
        <v>105</v>
      </c>
      <c r="C67" s="30"/>
      <c r="D67" s="66" t="s">
        <v>107</v>
      </c>
      <c r="E67" s="66"/>
      <c r="F67" s="66"/>
      <c r="G67" s="30"/>
      <c r="H67" s="66" t="s">
        <v>111</v>
      </c>
      <c r="I67" s="66"/>
      <c r="J67" s="66"/>
      <c r="K67" s="67" t="s">
        <v>116</v>
      </c>
      <c r="L67" s="67"/>
      <c r="M67" s="30"/>
      <c r="N67" s="30"/>
    </row>
    <row r="68" spans="1:14" ht="14.4" customHeight="1" x14ac:dyDescent="0.35">
      <c r="A68" s="30"/>
      <c r="B68" s="65" t="s">
        <v>106</v>
      </c>
      <c r="C68" s="30"/>
      <c r="D68" s="66" t="s">
        <v>108</v>
      </c>
      <c r="E68" s="66"/>
      <c r="F68" s="66"/>
      <c r="G68" s="30"/>
      <c r="H68" s="66" t="s">
        <v>112</v>
      </c>
      <c r="I68" s="66"/>
      <c r="J68" s="66"/>
      <c r="K68" s="67" t="s">
        <v>117</v>
      </c>
      <c r="L68" s="67"/>
      <c r="M68" s="30"/>
      <c r="N68" s="30"/>
    </row>
    <row r="69" spans="1:14" hidden="1" x14ac:dyDescent="0.3">
      <c r="A69" s="68"/>
      <c r="B69" s="68"/>
      <c r="C69" s="30"/>
      <c r="D69" s="30"/>
      <c r="E69" s="30"/>
      <c r="F69" s="30"/>
      <c r="G69" s="30"/>
      <c r="H69" s="30"/>
      <c r="I69" s="30"/>
      <c r="J69" s="30"/>
      <c r="K69" s="67"/>
      <c r="L69" s="67"/>
      <c r="M69" s="30"/>
      <c r="N69" s="30"/>
    </row>
    <row r="70" spans="1:14" hidden="1" x14ac:dyDescent="0.3">
      <c r="A70" s="68" t="s">
        <v>37</v>
      </c>
      <c r="B70" s="68" t="s">
        <v>39</v>
      </c>
      <c r="C70" s="30"/>
      <c r="D70" s="30"/>
      <c r="E70" s="30"/>
      <c r="F70" s="30"/>
      <c r="G70" s="30"/>
      <c r="H70" s="30"/>
      <c r="I70" s="30"/>
      <c r="J70" s="30"/>
      <c r="K70" s="67"/>
      <c r="L70" s="67"/>
      <c r="M70" s="30"/>
      <c r="N70" s="30"/>
    </row>
    <row r="71" spans="1:14" hidden="1" x14ac:dyDescent="0.3">
      <c r="A71" s="69" t="s">
        <v>23</v>
      </c>
      <c r="B71" s="74">
        <v>35</v>
      </c>
      <c r="C71" s="30"/>
      <c r="D71" s="30"/>
      <c r="E71" s="30"/>
      <c r="F71" s="30"/>
      <c r="G71" s="30"/>
      <c r="H71" s="30"/>
      <c r="I71" s="30"/>
      <c r="J71" s="30"/>
      <c r="K71" s="67"/>
      <c r="L71" s="67"/>
      <c r="M71" s="30"/>
      <c r="N71" s="30"/>
    </row>
    <row r="72" spans="1:14" hidden="1" x14ac:dyDescent="0.3">
      <c r="A72" s="69" t="s">
        <v>10</v>
      </c>
      <c r="B72" s="74">
        <v>35</v>
      </c>
      <c r="C72" s="30"/>
      <c r="D72" s="30"/>
      <c r="E72" s="30"/>
      <c r="F72" s="30"/>
      <c r="G72" s="30"/>
      <c r="H72" s="30"/>
      <c r="I72" s="30"/>
      <c r="J72" s="30"/>
      <c r="K72" s="67"/>
      <c r="L72" s="67"/>
      <c r="M72" s="30"/>
      <c r="N72" s="30"/>
    </row>
    <row r="73" spans="1:14" hidden="1" x14ac:dyDescent="0.3">
      <c r="A73" s="69" t="s">
        <v>19</v>
      </c>
      <c r="B73" s="74">
        <v>26</v>
      </c>
      <c r="C73" s="30"/>
      <c r="D73" s="30"/>
      <c r="E73" s="30"/>
      <c r="F73" s="30"/>
      <c r="G73" s="30"/>
      <c r="H73" s="30"/>
      <c r="I73" s="30"/>
      <c r="J73" s="30"/>
      <c r="K73" s="67"/>
      <c r="L73" s="67"/>
      <c r="M73" s="30"/>
      <c r="N73" s="30"/>
    </row>
    <row r="74" spans="1:14" hidden="1" x14ac:dyDescent="0.3">
      <c r="A74" s="69" t="s">
        <v>26</v>
      </c>
      <c r="B74" s="74">
        <v>36</v>
      </c>
      <c r="C74" s="30"/>
      <c r="D74" s="30"/>
      <c r="E74" s="30"/>
      <c r="F74" s="30"/>
      <c r="G74" s="30"/>
      <c r="H74" s="30"/>
      <c r="I74" s="30"/>
      <c r="J74" s="30"/>
      <c r="K74" s="67"/>
      <c r="L74" s="67"/>
      <c r="M74" s="30"/>
      <c r="N74" s="30"/>
    </row>
    <row r="75" spans="1:14" hidden="1" x14ac:dyDescent="0.3">
      <c r="A75" s="69" t="s">
        <v>16</v>
      </c>
      <c r="B75" s="74">
        <v>47</v>
      </c>
      <c r="C75" s="30"/>
      <c r="D75" s="30"/>
      <c r="E75" s="30"/>
      <c r="F75" s="30"/>
      <c r="G75" s="30"/>
      <c r="H75" s="30"/>
      <c r="I75" s="30"/>
      <c r="J75" s="30"/>
      <c r="K75" s="67"/>
      <c r="L75" s="67"/>
      <c r="M75" s="30"/>
      <c r="N75" s="30"/>
    </row>
    <row r="76" spans="1:14" hidden="1" x14ac:dyDescent="0.3">
      <c r="A76" s="69" t="s">
        <v>13</v>
      </c>
      <c r="B76" s="74">
        <v>41</v>
      </c>
      <c r="C76" s="30"/>
      <c r="D76" s="30"/>
      <c r="E76" s="30"/>
      <c r="F76" s="30"/>
      <c r="G76" s="30"/>
      <c r="H76" s="30"/>
      <c r="I76" s="30"/>
      <c r="J76" s="30"/>
      <c r="K76" s="67"/>
      <c r="L76" s="67"/>
      <c r="M76" s="30"/>
      <c r="N76" s="30"/>
    </row>
    <row r="77" spans="1:14" hidden="1" x14ac:dyDescent="0.3">
      <c r="A77" s="69" t="s">
        <v>32</v>
      </c>
      <c r="B77" s="74">
        <v>25</v>
      </c>
      <c r="C77" s="30"/>
      <c r="D77" s="30"/>
      <c r="E77" s="30"/>
      <c r="F77" s="30"/>
      <c r="G77" s="30"/>
      <c r="H77" s="30"/>
      <c r="I77" s="30"/>
      <c r="J77" s="30"/>
      <c r="K77" s="67"/>
      <c r="L77" s="67"/>
      <c r="M77" s="30"/>
      <c r="N77" s="30"/>
    </row>
    <row r="78" spans="1:14" hidden="1" x14ac:dyDescent="0.3">
      <c r="A78" s="69" t="s">
        <v>31</v>
      </c>
      <c r="B78" s="74">
        <v>27</v>
      </c>
      <c r="C78" s="30"/>
      <c r="D78" s="30"/>
      <c r="E78" s="30"/>
      <c r="F78" s="30"/>
      <c r="G78" s="30"/>
      <c r="H78" s="30"/>
      <c r="I78" s="30"/>
      <c r="J78" s="30"/>
      <c r="K78" s="67"/>
      <c r="L78" s="67"/>
      <c r="M78" s="30"/>
      <c r="N78" s="30"/>
    </row>
    <row r="79" spans="1:14" hidden="1" x14ac:dyDescent="0.3">
      <c r="A79" s="69" t="s">
        <v>38</v>
      </c>
      <c r="B79" s="74">
        <v>272</v>
      </c>
      <c r="C79" s="30"/>
      <c r="D79" s="30"/>
      <c r="E79" s="30"/>
      <c r="F79" s="30"/>
      <c r="G79" s="30"/>
      <c r="H79" s="30"/>
      <c r="I79" s="30"/>
      <c r="J79" s="30"/>
      <c r="K79" s="67"/>
      <c r="L79" s="67"/>
      <c r="M79" s="30"/>
      <c r="N79" s="30"/>
    </row>
    <row r="80" spans="1:14" x14ac:dyDescent="0.3">
      <c r="A80" s="30"/>
      <c r="B80" s="30"/>
      <c r="C80" s="30"/>
      <c r="D80" s="70" t="s">
        <v>109</v>
      </c>
      <c r="E80" s="70"/>
      <c r="F80" s="70"/>
      <c r="G80" s="30"/>
      <c r="H80" s="70" t="s">
        <v>113</v>
      </c>
      <c r="I80" s="70"/>
      <c r="J80" s="70"/>
      <c r="K80" s="71" t="s">
        <v>114</v>
      </c>
      <c r="L80" s="71"/>
      <c r="M80" s="30"/>
      <c r="N80" s="30"/>
    </row>
    <row r="81" spans="1:14" x14ac:dyDescent="0.3">
      <c r="A81" s="30"/>
      <c r="B81" s="30"/>
      <c r="C81" s="30"/>
      <c r="D81" s="70" t="s">
        <v>110</v>
      </c>
      <c r="E81" s="70"/>
      <c r="F81" s="70"/>
      <c r="G81" s="30"/>
      <c r="H81" s="30"/>
      <c r="I81" s="30"/>
      <c r="J81" s="30"/>
      <c r="K81" s="71" t="s">
        <v>115</v>
      </c>
      <c r="L81" s="71"/>
      <c r="M81" s="30"/>
      <c r="N81" s="30"/>
    </row>
    <row r="82" spans="1:14" x14ac:dyDescent="0.3">
      <c r="A82" s="30"/>
      <c r="B82" s="30"/>
      <c r="C82" s="30"/>
      <c r="D82" s="30"/>
      <c r="E82" s="30"/>
      <c r="F82" s="30"/>
      <c r="G82" s="30"/>
      <c r="H82" s="30"/>
      <c r="I82" s="30"/>
      <c r="J82" s="30"/>
      <c r="K82" s="30"/>
      <c r="L82" s="30"/>
      <c r="M82" s="30"/>
      <c r="N82" s="30"/>
    </row>
  </sheetData>
  <mergeCells count="5">
    <mergeCell ref="A3:P4"/>
    <mergeCell ref="A7:C7"/>
    <mergeCell ref="A1:M2"/>
    <mergeCell ref="F9:G9"/>
    <mergeCell ref="J7:L7"/>
  </mergeCells>
  <conditionalFormatting sqref="B9">
    <cfRule type="cellIs" dxfId="1" priority="1" operator="lessThan">
      <formula>70000000</formula>
    </cfRule>
    <cfRule type="cellIs" dxfId="0" priority="2" operator="greaterThanOrEqual">
      <formula>70000000</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5B8C-1B0D-4E03-9220-CF605A22249B}">
  <dimension ref="A1:B4"/>
  <sheetViews>
    <sheetView workbookViewId="0">
      <selection activeCell="M11" sqref="M11"/>
    </sheetView>
  </sheetViews>
  <sheetFormatPr baseColWidth="10" defaultRowHeight="14.4" x14ac:dyDescent="0.3"/>
  <cols>
    <col min="2" max="2" width="16.44140625" bestFit="1" customWidth="1"/>
  </cols>
  <sheetData>
    <row r="1" spans="1:2" x14ac:dyDescent="0.3">
      <c r="A1" t="s">
        <v>118</v>
      </c>
      <c r="B1" t="s">
        <v>121</v>
      </c>
    </row>
    <row r="2" spans="1:2" x14ac:dyDescent="0.3">
      <c r="A2" t="s">
        <v>124</v>
      </c>
      <c r="B2" s="24">
        <f>SUM(Ventas_TP8!J:J)</f>
        <v>71580000</v>
      </c>
    </row>
    <row r="3" spans="1:2" x14ac:dyDescent="0.3">
      <c r="A3" t="s">
        <v>119</v>
      </c>
      <c r="B3" s="24">
        <f>-SUM(Ventas_TP8!K:K)</f>
        <v>-50276000</v>
      </c>
    </row>
    <row r="4" spans="1:2" x14ac:dyDescent="0.3">
      <c r="A4" t="s">
        <v>120</v>
      </c>
      <c r="B4" s="24">
        <f>B2+B3</f>
        <v>21304000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DC809-934A-435E-925B-5245510DB9F4}">
  <dimension ref="A1:R35"/>
  <sheetViews>
    <sheetView showGridLines="0" topLeftCell="A17" workbookViewId="0">
      <selection activeCell="H39" sqref="H39"/>
    </sheetView>
  </sheetViews>
  <sheetFormatPr baseColWidth="10" defaultRowHeight="14.4" x14ac:dyDescent="0.3"/>
  <sheetData>
    <row r="1" spans="1:18" ht="22.2" customHeight="1" x14ac:dyDescent="0.3">
      <c r="A1" s="41" t="s">
        <v>81</v>
      </c>
      <c r="B1" s="41"/>
      <c r="C1" s="41"/>
      <c r="D1" s="41"/>
      <c r="E1" s="41"/>
      <c r="F1" s="41"/>
      <c r="G1" s="41"/>
      <c r="H1" s="41"/>
      <c r="I1" s="41"/>
      <c r="J1" s="41"/>
      <c r="K1" s="41"/>
      <c r="L1" s="41"/>
      <c r="M1" s="41"/>
      <c r="N1" s="41"/>
      <c r="O1" s="41"/>
      <c r="P1" s="41"/>
      <c r="Q1" s="41"/>
      <c r="R1" s="41"/>
    </row>
    <row r="3" spans="1:18" ht="16.2" x14ac:dyDescent="0.35">
      <c r="A3" s="31" t="s">
        <v>83</v>
      </c>
      <c r="B3" s="31"/>
      <c r="C3" s="31"/>
      <c r="D3" s="31"/>
      <c r="E3" s="31"/>
      <c r="F3" s="31"/>
      <c r="G3" s="31"/>
      <c r="H3" s="31"/>
      <c r="I3" s="31"/>
      <c r="J3" s="31"/>
      <c r="K3" s="31"/>
      <c r="L3" s="31"/>
      <c r="M3" s="31"/>
      <c r="N3" s="31"/>
      <c r="O3" s="31"/>
      <c r="P3" s="31"/>
      <c r="Q3" s="29"/>
      <c r="R3" s="30"/>
    </row>
    <row r="4" spans="1:18" ht="15.6" x14ac:dyDescent="0.3">
      <c r="A4" s="31"/>
      <c r="B4" s="31"/>
      <c r="C4" s="31"/>
      <c r="D4" s="31"/>
      <c r="E4" s="31"/>
      <c r="F4" s="31"/>
      <c r="G4" s="31"/>
      <c r="H4" s="31"/>
      <c r="I4" s="31"/>
      <c r="J4" s="31"/>
      <c r="K4" s="31"/>
      <c r="L4" s="31"/>
      <c r="M4" s="31"/>
      <c r="N4" s="31"/>
      <c r="O4" s="31"/>
      <c r="P4" s="31"/>
      <c r="Q4" s="29"/>
      <c r="R4" s="30"/>
    </row>
    <row r="5" spans="1:18" ht="16.2" x14ac:dyDescent="0.35">
      <c r="A5" s="31" t="s">
        <v>84</v>
      </c>
      <c r="B5" s="31"/>
      <c r="C5" s="31"/>
      <c r="D5" s="31"/>
      <c r="E5" s="31"/>
      <c r="F5" s="31"/>
      <c r="G5" s="31"/>
      <c r="H5" s="31"/>
      <c r="I5" s="31"/>
      <c r="J5" s="31"/>
      <c r="K5" s="31"/>
      <c r="L5" s="31"/>
      <c r="M5" s="31"/>
      <c r="N5" s="31"/>
      <c r="O5" s="31"/>
      <c r="P5" s="31"/>
      <c r="Q5" s="29"/>
      <c r="R5" s="30"/>
    </row>
    <row r="6" spans="1:18" ht="15.6" x14ac:dyDescent="0.3">
      <c r="A6" s="31"/>
      <c r="B6" s="31"/>
      <c r="C6" s="31"/>
      <c r="D6" s="31"/>
      <c r="E6" s="31"/>
      <c r="F6" s="31"/>
      <c r="G6" s="31"/>
      <c r="H6" s="31"/>
      <c r="I6" s="31"/>
      <c r="J6" s="31"/>
      <c r="K6" s="31"/>
      <c r="L6" s="31"/>
      <c r="M6" s="31"/>
      <c r="N6" s="31"/>
      <c r="O6" s="31"/>
      <c r="P6" s="31"/>
      <c r="Q6" s="29"/>
      <c r="R6" s="30"/>
    </row>
    <row r="7" spans="1:18" ht="16.2" x14ac:dyDescent="0.35">
      <c r="A7" s="31" t="s">
        <v>82</v>
      </c>
      <c r="B7" s="31"/>
      <c r="C7" s="31"/>
      <c r="D7" s="31"/>
      <c r="E7" s="31"/>
      <c r="F7" s="31"/>
      <c r="G7" s="31"/>
      <c r="H7" s="31"/>
      <c r="I7" s="31"/>
      <c r="J7" s="31"/>
      <c r="K7" s="31"/>
      <c r="L7" s="31"/>
      <c r="M7" s="31"/>
      <c r="N7" s="31"/>
      <c r="O7" s="31"/>
      <c r="P7" s="31"/>
      <c r="Q7" s="29"/>
      <c r="R7" s="30"/>
    </row>
    <row r="8" spans="1:18" ht="15.6" x14ac:dyDescent="0.3">
      <c r="A8" s="31"/>
      <c r="B8" s="31"/>
      <c r="C8" s="31"/>
      <c r="D8" s="31"/>
      <c r="E8" s="31"/>
      <c r="F8" s="31"/>
      <c r="G8" s="31"/>
      <c r="H8" s="31"/>
      <c r="I8" s="31"/>
      <c r="J8" s="31"/>
      <c r="K8" s="31"/>
      <c r="L8" s="31"/>
      <c r="M8" s="31"/>
      <c r="N8" s="31"/>
      <c r="O8" s="31"/>
      <c r="P8" s="31"/>
      <c r="Q8" s="29"/>
      <c r="R8" s="30"/>
    </row>
    <row r="12" spans="1:18" ht="18" x14ac:dyDescent="0.3">
      <c r="A12" s="41" t="s">
        <v>85</v>
      </c>
      <c r="B12" s="41"/>
      <c r="C12" s="41"/>
      <c r="D12" s="41"/>
      <c r="E12" s="41"/>
      <c r="F12" s="41"/>
      <c r="G12" s="41"/>
      <c r="H12" s="41"/>
      <c r="I12" s="41"/>
      <c r="J12" s="41"/>
      <c r="K12" s="41"/>
      <c r="L12" s="41"/>
      <c r="M12" s="41"/>
      <c r="N12" s="41"/>
      <c r="O12" s="41"/>
      <c r="P12" s="41"/>
      <c r="Q12" s="41"/>
      <c r="R12" s="41"/>
    </row>
    <row r="14" spans="1:18" ht="16.2" x14ac:dyDescent="0.35">
      <c r="A14" s="32" t="s">
        <v>86</v>
      </c>
      <c r="B14" s="31"/>
      <c r="C14" s="31"/>
      <c r="D14" s="31"/>
      <c r="E14" s="31"/>
      <c r="F14" s="31"/>
      <c r="G14" s="31"/>
      <c r="H14" s="31"/>
      <c r="I14" s="31"/>
      <c r="J14" s="31"/>
      <c r="K14" s="31"/>
      <c r="L14" s="31"/>
      <c r="M14" s="31"/>
      <c r="N14" s="31"/>
      <c r="O14" s="31"/>
      <c r="P14" s="31"/>
      <c r="Q14" s="30"/>
      <c r="R14" s="30"/>
    </row>
    <row r="15" spans="1:18" ht="15.6" x14ac:dyDescent="0.3">
      <c r="A15" s="31"/>
      <c r="B15" s="31"/>
      <c r="C15" s="31"/>
      <c r="D15" s="31"/>
      <c r="E15" s="31"/>
      <c r="F15" s="31"/>
      <c r="G15" s="31"/>
      <c r="H15" s="31"/>
      <c r="I15" s="31"/>
      <c r="J15" s="31"/>
      <c r="K15" s="31"/>
      <c r="L15" s="31"/>
      <c r="M15" s="31"/>
      <c r="N15" s="31"/>
      <c r="O15" s="31"/>
      <c r="P15" s="31"/>
      <c r="Q15" s="30"/>
      <c r="R15" s="30"/>
    </row>
    <row r="16" spans="1:18" ht="18.600000000000001" x14ac:dyDescent="0.4">
      <c r="A16" s="33" t="s">
        <v>87</v>
      </c>
      <c r="B16" s="33"/>
      <c r="C16" s="33"/>
      <c r="D16" s="33"/>
      <c r="E16" s="33"/>
      <c r="F16" s="33"/>
      <c r="G16" s="33"/>
      <c r="H16" s="33"/>
      <c r="I16" s="33"/>
      <c r="J16" s="33"/>
      <c r="K16" s="33"/>
      <c r="L16" s="33"/>
      <c r="M16" s="33"/>
      <c r="N16" s="33"/>
      <c r="O16" s="33"/>
      <c r="P16" s="33"/>
      <c r="Q16" s="30"/>
      <c r="R16" s="30"/>
    </row>
    <row r="17" spans="1:18" ht="18.600000000000001" x14ac:dyDescent="0.4">
      <c r="A17" s="33" t="s">
        <v>88</v>
      </c>
      <c r="B17" s="33"/>
      <c r="C17" s="33"/>
      <c r="D17" s="33"/>
      <c r="E17" s="33"/>
      <c r="F17" s="33"/>
      <c r="G17" s="33"/>
      <c r="H17" s="33"/>
      <c r="I17" s="33"/>
      <c r="J17" s="33"/>
      <c r="K17" s="33"/>
      <c r="L17" s="33"/>
      <c r="M17" s="33"/>
      <c r="N17" s="33"/>
      <c r="O17" s="33"/>
      <c r="P17" s="33"/>
      <c r="Q17" s="30"/>
      <c r="R17" s="30"/>
    </row>
    <row r="18" spans="1:18" ht="18.600000000000001" x14ac:dyDescent="0.4">
      <c r="A18" s="33" t="s">
        <v>89</v>
      </c>
      <c r="B18" s="33"/>
      <c r="C18" s="33"/>
      <c r="D18" s="33"/>
      <c r="E18" s="33"/>
      <c r="F18" s="33"/>
      <c r="G18" s="33"/>
      <c r="H18" s="33"/>
      <c r="I18" s="33"/>
      <c r="J18" s="33"/>
      <c r="K18" s="33"/>
      <c r="L18" s="33"/>
      <c r="M18" s="33"/>
      <c r="N18" s="33"/>
      <c r="O18" s="33"/>
      <c r="P18" s="33"/>
      <c r="Q18" s="30"/>
      <c r="R18" s="30"/>
    </row>
    <row r="19" spans="1:18" ht="18" x14ac:dyDescent="0.35">
      <c r="A19" s="34"/>
      <c r="B19" s="34"/>
      <c r="C19" s="34"/>
      <c r="D19" s="34"/>
      <c r="E19" s="34"/>
      <c r="F19" s="34"/>
      <c r="G19" s="34"/>
      <c r="H19" s="34"/>
      <c r="I19" s="34"/>
      <c r="J19" s="34"/>
      <c r="K19" s="34"/>
      <c r="L19" s="34"/>
      <c r="M19" s="34"/>
      <c r="N19" s="34"/>
      <c r="O19" s="34"/>
      <c r="P19" s="34"/>
      <c r="Q19" s="30"/>
      <c r="R19" s="30"/>
    </row>
    <row r="22" spans="1:18" ht="18" x14ac:dyDescent="0.3">
      <c r="A22" s="41" t="s">
        <v>90</v>
      </c>
      <c r="B22" s="41"/>
      <c r="C22" s="41"/>
      <c r="D22" s="41"/>
      <c r="E22" s="41"/>
      <c r="F22" s="41"/>
      <c r="G22" s="41"/>
      <c r="H22" s="41"/>
      <c r="I22" s="41"/>
      <c r="J22" s="41"/>
      <c r="K22" s="41"/>
      <c r="L22" s="41"/>
      <c r="M22" s="41"/>
      <c r="N22" s="41"/>
      <c r="O22" s="41"/>
      <c r="P22" s="41"/>
      <c r="Q22" s="41"/>
      <c r="R22" s="41"/>
    </row>
    <row r="24" spans="1:18" ht="16.2" x14ac:dyDescent="0.35">
      <c r="A24" s="32" t="s">
        <v>91</v>
      </c>
      <c r="B24" s="31"/>
      <c r="C24" s="31"/>
      <c r="D24" s="31"/>
      <c r="E24" s="31"/>
      <c r="F24" s="31"/>
      <c r="G24" s="31"/>
      <c r="H24" s="31"/>
      <c r="I24" s="31"/>
      <c r="J24" s="31"/>
      <c r="K24" s="31"/>
      <c r="L24" s="31"/>
      <c r="M24" s="31"/>
      <c r="N24" s="31"/>
      <c r="O24" s="31"/>
      <c r="P24" s="31"/>
      <c r="Q24" s="29"/>
      <c r="R24" s="29"/>
    </row>
    <row r="25" spans="1:18" ht="15.6" x14ac:dyDescent="0.3">
      <c r="A25" s="31" t="s">
        <v>99</v>
      </c>
      <c r="B25" s="31"/>
      <c r="C25" s="31"/>
      <c r="D25" s="31"/>
      <c r="E25" s="31"/>
      <c r="F25" s="31"/>
      <c r="G25" s="31"/>
      <c r="H25" s="31"/>
      <c r="I25" s="31"/>
      <c r="J25" s="31"/>
      <c r="K25" s="31"/>
      <c r="L25" s="31"/>
      <c r="M25" s="31"/>
      <c r="N25" s="31"/>
      <c r="O25" s="31"/>
      <c r="P25" s="31"/>
      <c r="Q25" s="29"/>
      <c r="R25" s="29"/>
    </row>
    <row r="26" spans="1:18" ht="15.6" x14ac:dyDescent="0.3">
      <c r="A26" s="31" t="s">
        <v>92</v>
      </c>
      <c r="B26" s="31"/>
      <c r="C26" s="31"/>
      <c r="D26" s="31"/>
      <c r="E26" s="31"/>
      <c r="F26" s="31"/>
      <c r="G26" s="31"/>
      <c r="H26" s="31"/>
      <c r="I26" s="31"/>
      <c r="J26" s="31"/>
      <c r="K26" s="31"/>
      <c r="L26" s="31"/>
      <c r="M26" s="31"/>
      <c r="N26" s="31"/>
      <c r="O26" s="31"/>
      <c r="P26" s="31"/>
      <c r="Q26" s="29"/>
      <c r="R26" s="29"/>
    </row>
    <row r="27" spans="1:18" ht="15.6" x14ac:dyDescent="0.3">
      <c r="A27" s="31"/>
      <c r="B27" s="31"/>
      <c r="C27" s="31"/>
      <c r="D27" s="31"/>
      <c r="E27" s="31"/>
      <c r="F27" s="31"/>
      <c r="G27" s="31"/>
      <c r="H27" s="31"/>
      <c r="I27" s="31"/>
      <c r="J27" s="31"/>
      <c r="K27" s="31"/>
      <c r="L27" s="31"/>
      <c r="M27" s="31"/>
      <c r="N27" s="31"/>
      <c r="O27" s="31"/>
      <c r="P27" s="31"/>
      <c r="Q27" s="29"/>
      <c r="R27" s="29"/>
    </row>
    <row r="28" spans="1:18" ht="16.2" x14ac:dyDescent="0.35">
      <c r="A28" s="32" t="s">
        <v>93</v>
      </c>
      <c r="B28" s="31"/>
      <c r="C28" s="31"/>
      <c r="D28" s="31"/>
      <c r="E28" s="31"/>
      <c r="F28" s="31"/>
      <c r="G28" s="31"/>
      <c r="H28" s="31"/>
      <c r="I28" s="31"/>
      <c r="J28" s="31"/>
      <c r="K28" s="31"/>
      <c r="L28" s="31"/>
      <c r="M28" s="31"/>
      <c r="N28" s="31"/>
      <c r="O28" s="31"/>
      <c r="P28" s="31"/>
      <c r="Q28" s="29"/>
      <c r="R28" s="29"/>
    </row>
    <row r="29" spans="1:18" ht="15.6" x14ac:dyDescent="0.3">
      <c r="A29" s="31" t="s">
        <v>94</v>
      </c>
      <c r="B29" s="31"/>
      <c r="C29" s="31"/>
      <c r="D29" s="31"/>
      <c r="E29" s="31"/>
      <c r="F29" s="31"/>
      <c r="G29" s="31"/>
      <c r="H29" s="31"/>
      <c r="I29" s="31"/>
      <c r="J29" s="31"/>
      <c r="K29" s="31"/>
      <c r="L29" s="31"/>
      <c r="M29" s="31"/>
      <c r="N29" s="31"/>
      <c r="O29" s="31"/>
      <c r="P29" s="31"/>
      <c r="Q29" s="29"/>
      <c r="R29" s="29"/>
    </row>
    <row r="30" spans="1:18" ht="15.6" x14ac:dyDescent="0.3">
      <c r="A30" s="31" t="s">
        <v>95</v>
      </c>
      <c r="B30" s="31"/>
      <c r="C30" s="31"/>
      <c r="D30" s="31"/>
      <c r="E30" s="31"/>
      <c r="F30" s="31"/>
      <c r="G30" s="31"/>
      <c r="H30" s="31"/>
      <c r="I30" s="31"/>
      <c r="J30" s="31"/>
      <c r="K30" s="31"/>
      <c r="L30" s="31"/>
      <c r="M30" s="31"/>
      <c r="N30" s="31"/>
      <c r="O30" s="31"/>
      <c r="P30" s="31"/>
      <c r="Q30" s="29"/>
      <c r="R30" s="29"/>
    </row>
    <row r="31" spans="1:18" ht="15.6" x14ac:dyDescent="0.3">
      <c r="A31" s="31"/>
      <c r="B31" s="31"/>
      <c r="C31" s="31"/>
      <c r="D31" s="31"/>
      <c r="E31" s="31"/>
      <c r="F31" s="31"/>
      <c r="G31" s="31"/>
      <c r="H31" s="31"/>
      <c r="I31" s="31"/>
      <c r="J31" s="31"/>
      <c r="K31" s="31"/>
      <c r="L31" s="31"/>
      <c r="M31" s="31"/>
      <c r="N31" s="31"/>
      <c r="O31" s="31"/>
      <c r="P31" s="31"/>
      <c r="Q31" s="29"/>
      <c r="R31" s="29"/>
    </row>
    <row r="32" spans="1:18" ht="16.2" x14ac:dyDescent="0.35">
      <c r="A32" s="32" t="s">
        <v>96</v>
      </c>
      <c r="B32" s="32"/>
      <c r="C32" s="32"/>
      <c r="D32" s="32"/>
      <c r="E32" s="31"/>
      <c r="F32" s="31"/>
      <c r="G32" s="31"/>
      <c r="H32" s="31"/>
      <c r="I32" s="31"/>
      <c r="J32" s="31"/>
      <c r="K32" s="31"/>
      <c r="L32" s="31"/>
      <c r="M32" s="31"/>
      <c r="N32" s="31"/>
      <c r="O32" s="31"/>
      <c r="P32" s="31"/>
      <c r="Q32" s="29"/>
      <c r="R32" s="29"/>
    </row>
    <row r="33" spans="1:18" ht="15.6" x14ac:dyDescent="0.3">
      <c r="A33" s="31" t="s">
        <v>97</v>
      </c>
      <c r="B33" s="31"/>
      <c r="C33" s="31"/>
      <c r="D33" s="31"/>
      <c r="E33" s="31"/>
      <c r="F33" s="31"/>
      <c r="G33" s="31"/>
      <c r="H33" s="31"/>
      <c r="I33" s="31"/>
      <c r="J33" s="31"/>
      <c r="K33" s="31"/>
      <c r="L33" s="31"/>
      <c r="M33" s="31"/>
      <c r="N33" s="31"/>
      <c r="O33" s="31"/>
      <c r="P33" s="31"/>
      <c r="Q33" s="29"/>
      <c r="R33" s="29"/>
    </row>
    <row r="34" spans="1:18" ht="15.6" x14ac:dyDescent="0.3">
      <c r="A34" s="31" t="s">
        <v>98</v>
      </c>
      <c r="B34" s="31"/>
      <c r="C34" s="31"/>
      <c r="D34" s="31"/>
      <c r="E34" s="31"/>
      <c r="F34" s="31"/>
      <c r="G34" s="31"/>
      <c r="H34" s="31"/>
      <c r="I34" s="31"/>
      <c r="J34" s="31"/>
      <c r="K34" s="31"/>
      <c r="L34" s="31"/>
      <c r="M34" s="31"/>
      <c r="N34" s="31"/>
      <c r="O34" s="31"/>
      <c r="P34" s="31"/>
      <c r="Q34" s="29"/>
      <c r="R34" s="29"/>
    </row>
    <row r="35" spans="1:18" ht="15.6" x14ac:dyDescent="0.3">
      <c r="A35" s="29"/>
      <c r="B35" s="29"/>
      <c r="C35" s="29"/>
      <c r="D35" s="29"/>
      <c r="E35" s="29"/>
      <c r="F35" s="29"/>
      <c r="G35" s="29"/>
      <c r="H35" s="29"/>
      <c r="I35" s="29"/>
      <c r="J35" s="29"/>
      <c r="K35" s="29"/>
      <c r="L35" s="29"/>
      <c r="M35" s="29"/>
      <c r="N35" s="29"/>
      <c r="O35" s="29"/>
      <c r="P35" s="29"/>
      <c r="Q35" s="29"/>
      <c r="R35" s="29"/>
    </row>
  </sheetData>
  <mergeCells count="3">
    <mergeCell ref="A22:R22"/>
    <mergeCell ref="A12:R12"/>
    <mergeCell ref="A1:R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2FDCC-3D82-4BE0-B184-52ED7FBDF629}">
  <dimension ref="A1"/>
  <sheetViews>
    <sheetView tabSelected="1" workbookViewId="0">
      <selection activeCell="H12" sqref="H12"/>
    </sheetView>
  </sheetViews>
  <sheetFormatPr baseColWidth="10" defaultRowHeight="14.4" x14ac:dyDescent="0.3"/>
  <sheetData/>
  <pageMargins left="0.7" right="0.7" top="0.75" bottom="0.75" header="0.3" footer="0.3"/>
  <pageSetup paperSize="9" orientation="portrait" horizontalDpi="360" verticalDpi="360" r:id="rId1"/>
  <drawing r:id="rId2"/>
  <legacyDrawing r:id="rId3"/>
  <oleObjects>
    <mc:AlternateContent xmlns:mc="http://schemas.openxmlformats.org/markup-compatibility/2006">
      <mc:Choice Requires="x14">
        <oleObject progId="Objeto empaquetador del shell" dvAspect="DVASPECT_ICON" shapeId="13313" r:id="rId4">
          <objectPr defaultSize="0" r:id="rId5">
            <anchor moveWithCells="1">
              <from>
                <xdr:col>0</xdr:col>
                <xdr:colOff>266700</xdr:colOff>
                <xdr:row>3</xdr:row>
                <xdr:rowOff>60960</xdr:rowOff>
              </from>
              <to>
                <xdr:col>3</xdr:col>
                <xdr:colOff>160020</xdr:colOff>
                <xdr:row>6</xdr:row>
                <xdr:rowOff>30480</xdr:rowOff>
              </to>
            </anchor>
          </objectPr>
        </oleObject>
      </mc:Choice>
      <mc:Fallback>
        <oleObject progId="Objeto empaquetador del shell" dvAspect="DVASPECT_ICON" shapeId="13313" r:id="rId4"/>
      </mc:Fallback>
    </mc:AlternateContent>
    <mc:AlternateContent xmlns:mc="http://schemas.openxmlformats.org/markup-compatibility/2006">
      <mc:Choice Requires="x14">
        <oleObject progId="Objeto empaquetador del shell" dvAspect="DVASPECT_ICON" shapeId="13315" r:id="rId6">
          <objectPr defaultSize="0" autoPict="0" r:id="rId7">
            <anchor moveWithCells="1">
              <from>
                <xdr:col>4</xdr:col>
                <xdr:colOff>7620</xdr:colOff>
                <xdr:row>3</xdr:row>
                <xdr:rowOff>91440</xdr:rowOff>
              </from>
              <to>
                <xdr:col>5</xdr:col>
                <xdr:colOff>716280</xdr:colOff>
                <xdr:row>6</xdr:row>
                <xdr:rowOff>38100</xdr:rowOff>
              </to>
            </anchor>
          </objectPr>
        </oleObject>
      </mc:Choice>
      <mc:Fallback>
        <oleObject progId="Objeto empaquetador del shell" dvAspect="DVASPECT_ICON" shapeId="13315" r:id="rId6"/>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5D21849-35B3-4F24-A584-64E9D31BDF31}">
  <ds:schemaRefs/>
</ds:datastoreItem>
</file>

<file path=customXml/itemProps2.xml><?xml version="1.0" encoding="utf-8"?>
<ds:datastoreItem xmlns:ds="http://schemas.openxmlformats.org/officeDocument/2006/customXml" ds:itemID="{B04F55A6-EBC8-49AB-B894-E4F3307A182C}">
  <ds:schemaRefs/>
</ds:datastoreItem>
</file>

<file path=customXml/itemProps3.xml><?xml version="1.0" encoding="utf-8"?>
<ds:datastoreItem xmlns:ds="http://schemas.openxmlformats.org/officeDocument/2006/customXml" ds:itemID="{E21D75D6-BAFB-4990-9F36-8489FEB0CB07}">
  <ds:schemaRefs/>
</ds:datastoreItem>
</file>

<file path=customXml/itemProps4.xml><?xml version="1.0" encoding="utf-8"?>
<ds:datastoreItem xmlns:ds="http://schemas.openxmlformats.org/officeDocument/2006/customXml" ds:itemID="{339D52B6-0659-4916-9540-AC3F09D2074F}">
  <ds:schemaRefs/>
</ds:datastoreItem>
</file>

<file path=customXml/itemProps5.xml><?xml version="1.0" encoding="utf-8"?>
<ds:datastoreItem xmlns:ds="http://schemas.openxmlformats.org/officeDocument/2006/customXml" ds:itemID="{F6602D87-5074-4639-BD8B-3515D02BE4C3}">
  <ds:schemaRefs/>
</ds:datastoreItem>
</file>

<file path=customXml/itemProps6.xml><?xml version="1.0" encoding="utf-8"?>
<ds:datastoreItem xmlns:ds="http://schemas.openxmlformats.org/officeDocument/2006/customXml" ds:itemID="{F0613453-5800-421A-946A-8B55143853C1}">
  <ds:schemaRefs/>
</ds:datastoreItem>
</file>

<file path=customXml/itemProps7.xml><?xml version="1.0" encoding="utf-8"?>
<ds:datastoreItem xmlns:ds="http://schemas.openxmlformats.org/officeDocument/2006/customXml" ds:itemID="{E0388D71-9EDB-4D78-A584-791219FCD69E}">
  <ds:schemaRefs/>
</ds:datastoreItem>
</file>

<file path=customXml/itemProps8.xml><?xml version="1.0" encoding="utf-8"?>
<ds:datastoreItem xmlns:ds="http://schemas.openxmlformats.org/officeDocument/2006/customXml" ds:itemID="{32CCC932-52C2-4F16-9535-35BE35D0050C}">
  <ds:schemaRefs/>
</ds:datastoreItem>
</file>

<file path=customXml/itemProps9.xml><?xml version="1.0" encoding="utf-8"?>
<ds:datastoreItem xmlns:ds="http://schemas.openxmlformats.org/officeDocument/2006/customXml" ds:itemID="{373C897F-7C18-43E5-BC45-FCBCCCFCC781}">
  <ds:schemaRefs/>
</ds:datastoreItem>
</file>

<file path=customXml/itemProps10.xml><?xml version="1.0" encoding="utf-8"?>
<ds:datastoreItem xmlns:ds="http://schemas.openxmlformats.org/officeDocument/2006/customXml" ds:itemID="{04C052DB-D84D-4010-A89E-9415A345A018}">
  <ds:schemaRefs/>
</ds:datastoreItem>
</file>

<file path=customXml/itemProps11.xml><?xml version="1.0" encoding="utf-8"?>
<ds:datastoreItem xmlns:ds="http://schemas.openxmlformats.org/officeDocument/2006/customXml" ds:itemID="{FE4F59BC-7A01-496A-BD80-77C261835359}">
  <ds:schemaRefs/>
</ds:datastoreItem>
</file>

<file path=customXml/itemProps12.xml><?xml version="1.0" encoding="utf-8"?>
<ds:datastoreItem xmlns:ds="http://schemas.openxmlformats.org/officeDocument/2006/customXml" ds:itemID="{F85171BF-69F4-4B33-A0A8-C5A4187E071F}">
  <ds:schemaRefs/>
</ds:datastoreItem>
</file>

<file path=customXml/itemProps13.xml><?xml version="1.0" encoding="utf-8"?>
<ds:datastoreItem xmlns:ds="http://schemas.openxmlformats.org/officeDocument/2006/customXml" ds:itemID="{EAE6BE69-52EB-43C9-9763-C5CFF8E5B6CF}">
  <ds:schemaRefs/>
</ds:datastoreItem>
</file>

<file path=customXml/itemProps14.xml><?xml version="1.0" encoding="utf-8"?>
<ds:datastoreItem xmlns:ds="http://schemas.openxmlformats.org/officeDocument/2006/customXml" ds:itemID="{DB79718C-04F0-4E32-8C22-0521C12D61F9}">
  <ds:schemaRefs/>
</ds:datastoreItem>
</file>

<file path=customXml/itemProps15.xml><?xml version="1.0" encoding="utf-8"?>
<ds:datastoreItem xmlns:ds="http://schemas.openxmlformats.org/officeDocument/2006/customXml" ds:itemID="{5E6BD647-328C-4A84-B82A-C29C40CA198F}">
  <ds:schemaRefs/>
</ds:datastoreItem>
</file>

<file path=customXml/itemProps16.xml><?xml version="1.0" encoding="utf-8"?>
<ds:datastoreItem xmlns:ds="http://schemas.openxmlformats.org/officeDocument/2006/customXml" ds:itemID="{AF41941E-3030-482B-A690-11B7CF453C00}">
  <ds:schemaRefs/>
</ds:datastoreItem>
</file>

<file path=customXml/itemProps17.xml><?xml version="1.0" encoding="utf-8"?>
<ds:datastoreItem xmlns:ds="http://schemas.openxmlformats.org/officeDocument/2006/customXml" ds:itemID="{C653B33F-ED17-4703-A7C1-9B1BA099EFDE}">
  <ds:schemaRefs/>
</ds:datastoreItem>
</file>

<file path=customXml/itemProps18.xml><?xml version="1.0" encoding="utf-8"?>
<ds:datastoreItem xmlns:ds="http://schemas.openxmlformats.org/officeDocument/2006/customXml" ds:itemID="{185D8C94-AE33-48F5-AE1D-FAEB3890FB95}">
  <ds:schemaRefs/>
</ds:datastoreItem>
</file>

<file path=customXml/itemProps19.xml><?xml version="1.0" encoding="utf-8"?>
<ds:datastoreItem xmlns:ds="http://schemas.openxmlformats.org/officeDocument/2006/customXml" ds:itemID="{BFD7F2E2-F076-4FCE-908B-185047BA4A71}">
  <ds:schemaRefs/>
</ds:datastoreItem>
</file>

<file path=customXml/itemProps20.xml><?xml version="1.0" encoding="utf-8"?>
<ds:datastoreItem xmlns:ds="http://schemas.openxmlformats.org/officeDocument/2006/customXml" ds:itemID="{4DFD0C67-84A8-4676-9001-9EDAD06BD6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Ventas_TP8 (2)</vt:lpstr>
      <vt:lpstr>Consulta1</vt:lpstr>
      <vt:lpstr>Hoja3</vt:lpstr>
      <vt:lpstr>Hoja1</vt:lpstr>
      <vt:lpstr>Hoja2</vt:lpstr>
      <vt:lpstr>categoria</vt:lpstr>
      <vt:lpstr>Tabla2</vt:lpstr>
      <vt:lpstr>Resumen del escenario</vt:lpstr>
      <vt:lpstr>Ventas_TP8</vt:lpstr>
      <vt:lpstr>DASHBOARD FINAL</vt:lpstr>
      <vt:lpstr>MARGEN</vt:lpstr>
      <vt:lpstr>CONCLUSIONES Y ANALISIS</vt:lpstr>
      <vt:lpstr>pdf con Prompts e Informe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Bau Nadia</dc:creator>
  <cp:lastModifiedBy>Nadia Yamila Dominguez</cp:lastModifiedBy>
  <dcterms:created xsi:type="dcterms:W3CDTF">2026-09-23T23:08:45Z</dcterms:created>
  <dcterms:modified xsi:type="dcterms:W3CDTF">2026-10-01T00:09:43Z</dcterms:modified>
</cp:coreProperties>
</file>